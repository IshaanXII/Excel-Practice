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haan\Desktop\"/>
    </mc:Choice>
  </mc:AlternateContent>
  <xr:revisionPtr revIDLastSave="0" documentId="13_ncr:1_{254323ED-BFFC-4944-88BC-F6D721E0A065}" xr6:coauthVersionLast="47" xr6:coauthVersionMax="47" xr10:uidLastSave="{00000000-0000-0000-0000-000000000000}"/>
  <bookViews>
    <workbookView xWindow="-110" yWindow="-110" windowWidth="19420" windowHeight="11500" activeTab="5" xr2:uid="{781673D1-29B4-459B-B4E6-B061CBFF239E}"/>
  </bookViews>
  <sheets>
    <sheet name="Sheet1" sheetId="1" r:id="rId1"/>
    <sheet name="DateTime" sheetId="2" r:id="rId2"/>
    <sheet name="lookup" sheetId="3" r:id="rId3"/>
    <sheet name="vlookup" sheetId="4" r:id="rId4"/>
    <sheet name="Products" sheetId="6" r:id="rId5"/>
    <sheet name="Orders" sheetId="7" r:id="rId6"/>
    <sheet name="hlookup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7" l="1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3" i="7"/>
  <c r="L50" i="4"/>
  <c r="L43" i="4"/>
  <c r="L40" i="4"/>
  <c r="L38" i="4"/>
  <c r="L31" i="4"/>
  <c r="L23" i="4"/>
  <c r="M17" i="3"/>
  <c r="N17" i="3" s="1"/>
  <c r="N18" i="3"/>
  <c r="M19" i="3"/>
  <c r="N19" i="3" s="1"/>
  <c r="M20" i="3"/>
  <c r="N20" i="3" s="1"/>
  <c r="M21" i="3"/>
  <c r="N21" i="3" s="1"/>
  <c r="M22" i="3"/>
  <c r="N22" i="3" s="1"/>
  <c r="M23" i="3"/>
  <c r="N23" i="3" s="1"/>
  <c r="M24" i="3"/>
  <c r="N24" i="3" s="1"/>
  <c r="M25" i="3"/>
  <c r="N25" i="3" s="1"/>
  <c r="M26" i="3"/>
  <c r="N26" i="3" s="1"/>
  <c r="M27" i="3"/>
  <c r="N27" i="3" s="1"/>
  <c r="M28" i="3"/>
  <c r="N28" i="3" s="1"/>
  <c r="M29" i="3"/>
  <c r="N29" i="3" s="1"/>
  <c r="M30" i="3"/>
  <c r="N30" i="3" s="1"/>
  <c r="M31" i="3"/>
  <c r="N31" i="3" s="1"/>
  <c r="M32" i="3"/>
  <c r="N32" i="3" s="1"/>
  <c r="M33" i="3"/>
  <c r="N33" i="3" s="1"/>
  <c r="M34" i="3"/>
  <c r="N34" i="3" s="1"/>
  <c r="M35" i="3"/>
  <c r="N35" i="3" s="1"/>
  <c r="M36" i="3"/>
  <c r="N36" i="3" s="1"/>
  <c r="M37" i="3"/>
  <c r="N37" i="3" s="1"/>
  <c r="M38" i="3"/>
  <c r="N38" i="3" s="1"/>
  <c r="M39" i="3"/>
  <c r="N39" i="3" s="1"/>
  <c r="M40" i="3"/>
  <c r="N40" i="3" s="1"/>
  <c r="M41" i="3"/>
  <c r="N41" i="3" s="1"/>
  <c r="M42" i="3"/>
  <c r="N42" i="3" s="1"/>
  <c r="M43" i="3"/>
  <c r="N43" i="3" s="1"/>
  <c r="M44" i="3"/>
  <c r="N44" i="3" s="1"/>
  <c r="M45" i="3"/>
  <c r="N45" i="3" s="1"/>
  <c r="M46" i="3"/>
  <c r="N46" i="3" s="1"/>
  <c r="M47" i="3"/>
  <c r="N47" i="3" s="1"/>
  <c r="M48" i="3"/>
  <c r="N48" i="3" s="1"/>
  <c r="M49" i="3"/>
  <c r="N49" i="3" s="1"/>
  <c r="M50" i="3"/>
  <c r="N50" i="3" s="1"/>
  <c r="M51" i="3"/>
  <c r="N51" i="3" s="1"/>
  <c r="M52" i="3"/>
  <c r="N52" i="3" s="1"/>
  <c r="M53" i="3"/>
  <c r="N53" i="3" s="1"/>
  <c r="M54" i="3"/>
  <c r="N54" i="3" s="1"/>
  <c r="M55" i="3"/>
  <c r="N55" i="3" s="1"/>
  <c r="M56" i="3"/>
  <c r="N56" i="3" s="1"/>
  <c r="M57" i="3"/>
  <c r="N57" i="3" s="1"/>
  <c r="M58" i="3"/>
  <c r="N58" i="3" s="1"/>
  <c r="M59" i="3"/>
  <c r="N59" i="3" s="1"/>
  <c r="M60" i="3"/>
  <c r="N60" i="3" s="1"/>
  <c r="M61" i="3"/>
  <c r="N61" i="3" s="1"/>
  <c r="M62" i="3"/>
  <c r="N62" i="3" s="1"/>
  <c r="M63" i="3"/>
  <c r="N63" i="3" s="1"/>
  <c r="M64" i="3"/>
  <c r="N64" i="3" s="1"/>
  <c r="M65" i="3"/>
  <c r="N65" i="3" s="1"/>
  <c r="M66" i="3"/>
  <c r="N66" i="3" s="1"/>
  <c r="M67" i="3"/>
  <c r="N67" i="3" s="1"/>
  <c r="M68" i="3"/>
  <c r="N68" i="3" s="1"/>
  <c r="M69" i="3"/>
  <c r="N69" i="3" s="1"/>
  <c r="M70" i="3"/>
  <c r="N70" i="3" s="1"/>
  <c r="M71" i="3"/>
  <c r="N71" i="3" s="1"/>
  <c r="M72" i="3"/>
  <c r="N72" i="3" s="1"/>
  <c r="M73" i="3"/>
  <c r="N73" i="3" s="1"/>
  <c r="M74" i="3"/>
  <c r="N74" i="3" s="1"/>
  <c r="M75" i="3"/>
  <c r="N75" i="3" s="1"/>
  <c r="M76" i="3"/>
  <c r="N76" i="3" s="1"/>
  <c r="M77" i="3"/>
  <c r="N77" i="3" s="1"/>
  <c r="M78" i="3"/>
  <c r="N78" i="3" s="1"/>
  <c r="M79" i="3"/>
  <c r="N79" i="3" s="1"/>
  <c r="M80" i="3"/>
  <c r="N80" i="3" s="1"/>
  <c r="M81" i="3"/>
  <c r="N81" i="3" s="1"/>
  <c r="M82" i="3"/>
  <c r="N82" i="3" s="1"/>
  <c r="M83" i="3"/>
  <c r="N83" i="3" s="1"/>
  <c r="M84" i="3"/>
  <c r="N84" i="3" s="1"/>
  <c r="M85" i="3"/>
  <c r="N85" i="3" s="1"/>
  <c r="M86" i="3"/>
  <c r="N86" i="3" s="1"/>
  <c r="M87" i="3"/>
  <c r="N87" i="3" s="1"/>
  <c r="M88" i="3"/>
  <c r="N88" i="3" s="1"/>
  <c r="M89" i="3"/>
  <c r="N89" i="3" s="1"/>
  <c r="M90" i="3"/>
  <c r="N90" i="3" s="1"/>
  <c r="M91" i="3"/>
  <c r="N91" i="3" s="1"/>
  <c r="M92" i="3"/>
  <c r="N92" i="3" s="1"/>
  <c r="M93" i="3"/>
  <c r="N93" i="3" s="1"/>
  <c r="M94" i="3"/>
  <c r="N94" i="3" s="1"/>
  <c r="M95" i="3"/>
  <c r="N95" i="3" s="1"/>
  <c r="M96" i="3"/>
  <c r="N96" i="3" s="1"/>
  <c r="M97" i="3"/>
  <c r="N97" i="3" s="1"/>
  <c r="M98" i="3"/>
  <c r="N98" i="3" s="1"/>
  <c r="M99" i="3"/>
  <c r="N99" i="3" s="1"/>
  <c r="M100" i="3"/>
  <c r="N100" i="3" s="1"/>
  <c r="M101" i="3"/>
  <c r="N101" i="3" s="1"/>
  <c r="M102" i="3"/>
  <c r="N102" i="3" s="1"/>
  <c r="M103" i="3"/>
  <c r="N103" i="3" s="1"/>
  <c r="M104" i="3"/>
  <c r="N104" i="3" s="1"/>
  <c r="M105" i="3"/>
  <c r="N105" i="3" s="1"/>
  <c r="M106" i="3"/>
  <c r="N106" i="3" s="1"/>
  <c r="M107" i="3"/>
  <c r="N107" i="3" s="1"/>
  <c r="M108" i="3"/>
  <c r="N108" i="3" s="1"/>
  <c r="M109" i="3"/>
  <c r="N109" i="3" s="1"/>
  <c r="M110" i="3"/>
  <c r="N110" i="3" s="1"/>
  <c r="M111" i="3"/>
  <c r="N111" i="3" s="1"/>
  <c r="M112" i="3"/>
  <c r="N112" i="3" s="1"/>
  <c r="M113" i="3"/>
  <c r="N113" i="3" s="1"/>
  <c r="M114" i="3"/>
  <c r="N114" i="3" s="1"/>
  <c r="M115" i="3"/>
  <c r="N115" i="3" s="1"/>
  <c r="M116" i="3"/>
  <c r="N116" i="3" s="1"/>
  <c r="M117" i="3"/>
  <c r="N117" i="3" s="1"/>
  <c r="M118" i="3"/>
  <c r="N118" i="3" s="1"/>
  <c r="M119" i="3"/>
  <c r="N119" i="3" s="1"/>
  <c r="M120" i="3"/>
  <c r="N120" i="3" s="1"/>
  <c r="M121" i="3"/>
  <c r="N121" i="3" s="1"/>
  <c r="M122" i="3"/>
  <c r="N122" i="3" s="1"/>
  <c r="M123" i="3"/>
  <c r="N123" i="3" s="1"/>
  <c r="M124" i="3"/>
  <c r="N124" i="3" s="1"/>
  <c r="M125" i="3"/>
  <c r="N125" i="3" s="1"/>
  <c r="M126" i="3"/>
  <c r="N126" i="3" s="1"/>
  <c r="M127" i="3"/>
  <c r="N127" i="3" s="1"/>
  <c r="M128" i="3"/>
  <c r="N128" i="3" s="1"/>
  <c r="M129" i="3"/>
  <c r="N129" i="3" s="1"/>
  <c r="M130" i="3"/>
  <c r="N130" i="3" s="1"/>
  <c r="M131" i="3"/>
  <c r="N131" i="3" s="1"/>
  <c r="M132" i="3"/>
  <c r="N132" i="3" s="1"/>
  <c r="M133" i="3"/>
  <c r="N133" i="3" s="1"/>
  <c r="M134" i="3"/>
  <c r="N134" i="3" s="1"/>
  <c r="M135" i="3"/>
  <c r="N135" i="3" s="1"/>
  <c r="M136" i="3"/>
  <c r="N136" i="3" s="1"/>
  <c r="M137" i="3"/>
  <c r="N137" i="3" s="1"/>
  <c r="M138" i="3"/>
  <c r="N138" i="3" s="1"/>
  <c r="M139" i="3"/>
  <c r="N139" i="3" s="1"/>
  <c r="M140" i="3"/>
  <c r="N140" i="3" s="1"/>
  <c r="M141" i="3"/>
  <c r="N141" i="3" s="1"/>
  <c r="M142" i="3"/>
  <c r="N142" i="3" s="1"/>
  <c r="M143" i="3"/>
  <c r="N143" i="3" s="1"/>
  <c r="M144" i="3"/>
  <c r="N144" i="3" s="1"/>
  <c r="M145" i="3"/>
  <c r="N145" i="3" s="1"/>
  <c r="M146" i="3"/>
  <c r="N146" i="3" s="1"/>
  <c r="M147" i="3"/>
  <c r="N147" i="3" s="1"/>
  <c r="M148" i="3"/>
  <c r="N148" i="3" s="1"/>
  <c r="M149" i="3"/>
  <c r="N149" i="3" s="1"/>
  <c r="M150" i="3"/>
  <c r="N150" i="3" s="1"/>
  <c r="M151" i="3"/>
  <c r="N151" i="3" s="1"/>
  <c r="M152" i="3"/>
  <c r="N152" i="3" s="1"/>
  <c r="M153" i="3"/>
  <c r="N153" i="3" s="1"/>
  <c r="M154" i="3"/>
  <c r="N154" i="3" s="1"/>
  <c r="M155" i="3"/>
  <c r="N155" i="3" s="1"/>
  <c r="M156" i="3"/>
  <c r="N156" i="3" s="1"/>
  <c r="M157" i="3"/>
  <c r="N157" i="3" s="1"/>
  <c r="M158" i="3"/>
  <c r="N158" i="3" s="1"/>
  <c r="M159" i="3"/>
  <c r="N159" i="3" s="1"/>
  <c r="M160" i="3"/>
  <c r="N160" i="3" s="1"/>
  <c r="M161" i="3"/>
  <c r="N161" i="3" s="1"/>
  <c r="M162" i="3"/>
  <c r="N162" i="3" s="1"/>
  <c r="M163" i="3"/>
  <c r="N163" i="3" s="1"/>
  <c r="M164" i="3"/>
  <c r="N164" i="3" s="1"/>
  <c r="M165" i="3"/>
  <c r="N165" i="3" s="1"/>
  <c r="M166" i="3"/>
  <c r="N166" i="3" s="1"/>
  <c r="M167" i="3"/>
  <c r="N167" i="3" s="1"/>
  <c r="M168" i="3"/>
  <c r="N168" i="3" s="1"/>
  <c r="M169" i="3"/>
  <c r="N169" i="3" s="1"/>
  <c r="M170" i="3"/>
  <c r="N170" i="3" s="1"/>
  <c r="M171" i="3"/>
  <c r="N171" i="3" s="1"/>
  <c r="M172" i="3"/>
  <c r="N172" i="3" s="1"/>
  <c r="M173" i="3"/>
  <c r="N173" i="3" s="1"/>
  <c r="M174" i="3"/>
  <c r="N174" i="3" s="1"/>
  <c r="M175" i="3"/>
  <c r="N175" i="3" s="1"/>
  <c r="M176" i="3"/>
  <c r="N176" i="3" s="1"/>
  <c r="M177" i="3"/>
  <c r="N177" i="3" s="1"/>
  <c r="M178" i="3"/>
  <c r="N178" i="3" s="1"/>
  <c r="M179" i="3"/>
  <c r="N179" i="3" s="1"/>
  <c r="M180" i="3"/>
  <c r="N180" i="3" s="1"/>
  <c r="M181" i="3"/>
  <c r="N181" i="3" s="1"/>
  <c r="M182" i="3"/>
  <c r="N182" i="3" s="1"/>
  <c r="M183" i="3"/>
  <c r="N183" i="3" s="1"/>
  <c r="M184" i="3"/>
  <c r="N184" i="3" s="1"/>
  <c r="M185" i="3"/>
  <c r="N185" i="3" s="1"/>
  <c r="M186" i="3"/>
  <c r="N186" i="3" s="1"/>
  <c r="M187" i="3"/>
  <c r="N187" i="3" s="1"/>
  <c r="M188" i="3"/>
  <c r="N188" i="3" s="1"/>
  <c r="M189" i="3"/>
  <c r="N189" i="3" s="1"/>
  <c r="M190" i="3"/>
  <c r="N190" i="3" s="1"/>
  <c r="M191" i="3"/>
  <c r="N191" i="3" s="1"/>
  <c r="M192" i="3"/>
  <c r="N192" i="3" s="1"/>
  <c r="M193" i="3"/>
  <c r="N193" i="3" s="1"/>
  <c r="M194" i="3"/>
  <c r="N194" i="3" s="1"/>
  <c r="M16" i="3"/>
  <c r="N16" i="3" s="1"/>
  <c r="L19" i="4"/>
  <c r="L16" i="4"/>
  <c r="F5" i="3"/>
  <c r="G5" i="3" s="1"/>
  <c r="F6" i="3"/>
  <c r="G6" i="3" s="1"/>
  <c r="F7" i="3"/>
  <c r="G7" i="3" s="1"/>
  <c r="F8" i="3"/>
  <c r="G8" i="3" s="1"/>
  <c r="F9" i="3"/>
  <c r="G9" i="3" s="1"/>
  <c r="F10" i="3"/>
  <c r="G10" i="3" s="1"/>
  <c r="F11" i="3"/>
  <c r="G11" i="3" s="1"/>
  <c r="F12" i="3"/>
  <c r="G12" i="3" s="1"/>
  <c r="F13" i="3"/>
  <c r="G13" i="3" s="1"/>
  <c r="F14" i="3"/>
  <c r="G14" i="3" s="1"/>
  <c r="F15" i="3"/>
  <c r="G15" i="3" s="1"/>
  <c r="F16" i="3"/>
  <c r="G16" i="3" s="1"/>
  <c r="F17" i="3"/>
  <c r="G17" i="3" s="1"/>
  <c r="F18" i="3"/>
  <c r="G18" i="3" s="1"/>
  <c r="F19" i="3"/>
  <c r="G19" i="3" s="1"/>
  <c r="F20" i="3"/>
  <c r="G20" i="3" s="1"/>
  <c r="F21" i="3"/>
  <c r="G21" i="3" s="1"/>
  <c r="F4" i="3"/>
  <c r="G4" i="3" s="1"/>
  <c r="A28" i="2"/>
  <c r="B23" i="2"/>
  <c r="G6" i="2"/>
  <c r="H9" i="2" s="1"/>
  <c r="C6" i="2"/>
  <c r="E8" i="2" s="1"/>
  <c r="B6" i="2"/>
  <c r="B8" i="2" s="1"/>
  <c r="G13" i="1"/>
  <c r="G14" i="1"/>
  <c r="G15" i="1"/>
  <c r="G16" i="1"/>
  <c r="G12" i="1"/>
  <c r="F13" i="1"/>
  <c r="F14" i="1"/>
  <c r="F15" i="1"/>
  <c r="F16" i="1"/>
  <c r="F12" i="1"/>
  <c r="E13" i="1"/>
  <c r="E14" i="1"/>
  <c r="E15" i="1"/>
  <c r="E16" i="1"/>
  <c r="E12" i="1"/>
  <c r="D13" i="1"/>
  <c r="D14" i="1"/>
  <c r="D15" i="1"/>
  <c r="D16" i="1"/>
  <c r="D12" i="1"/>
  <c r="I4" i="1"/>
  <c r="I5" i="1"/>
  <c r="I6" i="1"/>
  <c r="B7" i="1"/>
  <c r="I7" i="1" s="1"/>
  <c r="I3" i="1"/>
  <c r="H4" i="1"/>
  <c r="H5" i="1"/>
  <c r="H3" i="1"/>
  <c r="G4" i="1"/>
  <c r="G5" i="1"/>
  <c r="G3" i="1"/>
  <c r="F4" i="1"/>
  <c r="F5" i="1"/>
  <c r="F3" i="1"/>
  <c r="E4" i="1"/>
  <c r="E5" i="1"/>
  <c r="E3" i="1"/>
  <c r="D4" i="1"/>
  <c r="D5" i="1"/>
  <c r="D3" i="1"/>
  <c r="B20" i="2" l="1"/>
  <c r="B19" i="2"/>
  <c r="E10" i="2"/>
  <c r="H8" i="2"/>
  <c r="E9" i="2"/>
  <c r="B16" i="2"/>
  <c r="B13" i="2"/>
  <c r="B15" i="2"/>
  <c r="B14" i="2"/>
  <c r="B9" i="2"/>
  <c r="B10" i="2"/>
</calcChain>
</file>

<file path=xl/sharedStrings.xml><?xml version="1.0" encoding="utf-8"?>
<sst xmlns="http://schemas.openxmlformats.org/spreadsheetml/2006/main" count="828" uniqueCount="340">
  <si>
    <t>iserror</t>
  </si>
  <si>
    <t>iferror</t>
  </si>
  <si>
    <t>Concept 1</t>
  </si>
  <si>
    <t>iseven</t>
  </si>
  <si>
    <t>isodd</t>
  </si>
  <si>
    <t>hi</t>
  </si>
  <si>
    <t>isnumber</t>
  </si>
  <si>
    <t>Concept 2</t>
  </si>
  <si>
    <t>Original Price</t>
  </si>
  <si>
    <t>Discount</t>
  </si>
  <si>
    <t>40% OFF</t>
  </si>
  <si>
    <t>25% OFF</t>
  </si>
  <si>
    <t>Rs. 400 OFF</t>
  </si>
  <si>
    <t>Rs. 1200 OFF</t>
  </si>
  <si>
    <t>30% OFF</t>
  </si>
  <si>
    <t>Month</t>
  </si>
  <si>
    <t>Date</t>
  </si>
  <si>
    <t>Year</t>
  </si>
  <si>
    <t>Today</t>
  </si>
  <si>
    <t>Now</t>
  </si>
  <si>
    <t>Full Date</t>
  </si>
  <si>
    <t>Formating using Text function</t>
  </si>
  <si>
    <t>Hour</t>
  </si>
  <si>
    <t>Minutes</t>
  </si>
  <si>
    <t>Seconds</t>
  </si>
  <si>
    <t>Date + 3</t>
  </si>
  <si>
    <t>Date - 7</t>
  </si>
  <si>
    <t xml:space="preserve">Edate </t>
  </si>
  <si>
    <t>Addition</t>
  </si>
  <si>
    <t>Subtraction</t>
  </si>
  <si>
    <t>Network Days</t>
  </si>
  <si>
    <t>Total Number of working days</t>
  </si>
  <si>
    <t>Network days that includes weekends</t>
  </si>
  <si>
    <t>Name</t>
  </si>
  <si>
    <t>Marks</t>
  </si>
  <si>
    <t>Grades</t>
  </si>
  <si>
    <t>Range</t>
  </si>
  <si>
    <t>Grade</t>
  </si>
  <si>
    <t>D</t>
  </si>
  <si>
    <t>C</t>
  </si>
  <si>
    <t>B</t>
  </si>
  <si>
    <t>A</t>
  </si>
  <si>
    <t>A+</t>
  </si>
  <si>
    <t>In lookup, The range should be in the ascending order</t>
  </si>
  <si>
    <t>Full Name</t>
  </si>
  <si>
    <t>Job Title</t>
  </si>
  <si>
    <t>Department</t>
  </si>
  <si>
    <t>Business Unit</t>
  </si>
  <si>
    <t>Gender</t>
  </si>
  <si>
    <t>Ethnicity</t>
  </si>
  <si>
    <t>Age</t>
  </si>
  <si>
    <t>Hire Date</t>
  </si>
  <si>
    <t>Emily Davis</t>
  </si>
  <si>
    <t>Sr. Manger</t>
  </si>
  <si>
    <t>IT</t>
  </si>
  <si>
    <t>Research &amp; Development</t>
  </si>
  <si>
    <t>Female</t>
  </si>
  <si>
    <t>Black</t>
  </si>
  <si>
    <t>Theodore Dinh</t>
  </si>
  <si>
    <t>Technical Architect</t>
  </si>
  <si>
    <t>Manufacturing</t>
  </si>
  <si>
    <t>Male</t>
  </si>
  <si>
    <t>Asian</t>
  </si>
  <si>
    <t>Luna Sanders</t>
  </si>
  <si>
    <t>Director</t>
  </si>
  <si>
    <t>Finance</t>
  </si>
  <si>
    <t>Speciality Products</t>
  </si>
  <si>
    <t>Caucasian</t>
  </si>
  <si>
    <t>Penelope Jordan</t>
  </si>
  <si>
    <t>Computer Systems Manager</t>
  </si>
  <si>
    <t>Austin Vo</t>
  </si>
  <si>
    <t>Sr. Analyst</t>
  </si>
  <si>
    <t>Joshua Gupta</t>
  </si>
  <si>
    <t>Account Representative</t>
  </si>
  <si>
    <t>Sales</t>
  </si>
  <si>
    <t>Corporate</t>
  </si>
  <si>
    <t>Ruby Barnes</t>
  </si>
  <si>
    <t>Manager</t>
  </si>
  <si>
    <t>Luke Martin</t>
  </si>
  <si>
    <t>Analyst</t>
  </si>
  <si>
    <t>Easton Bailey</t>
  </si>
  <si>
    <t>Accounting</t>
  </si>
  <si>
    <t>Madeline Walker</t>
  </si>
  <si>
    <t>Savannah Ali</t>
  </si>
  <si>
    <t>Human Resources</t>
  </si>
  <si>
    <t>Camila Rogers</t>
  </si>
  <si>
    <t>Controls Engineer</t>
  </si>
  <si>
    <t>Engineering</t>
  </si>
  <si>
    <t>Eli Jones</t>
  </si>
  <si>
    <t>Everleigh Ng</t>
  </si>
  <si>
    <t>Robert Yang</t>
  </si>
  <si>
    <t>Isabella Xi</t>
  </si>
  <si>
    <t>Vice President</t>
  </si>
  <si>
    <t>Marketing</t>
  </si>
  <si>
    <t>Bella Powell</t>
  </si>
  <si>
    <t>Camila Silva</t>
  </si>
  <si>
    <t>Latino</t>
  </si>
  <si>
    <t>David Barnes</t>
  </si>
  <si>
    <t>Adam Dang</t>
  </si>
  <si>
    <t>Elias Alvarado</t>
  </si>
  <si>
    <t>Eva Rivera</t>
  </si>
  <si>
    <t>Logan Rivera</t>
  </si>
  <si>
    <t>Leonardo Dixon</t>
  </si>
  <si>
    <t>Mateo Her</t>
  </si>
  <si>
    <t>Jose Henderson</t>
  </si>
  <si>
    <t>Abigail Mejia</t>
  </si>
  <si>
    <t>Quality Engineer</t>
  </si>
  <si>
    <t>Wyatt Chin</t>
  </si>
  <si>
    <t>Carson Lu</t>
  </si>
  <si>
    <t>Engineering Manager</t>
  </si>
  <si>
    <t>Dylan Choi</t>
  </si>
  <si>
    <t>Ezekiel Kumar</t>
  </si>
  <si>
    <t>IT Coordinator</t>
  </si>
  <si>
    <t>Dominic Guzman</t>
  </si>
  <si>
    <t>Angel Powell</t>
  </si>
  <si>
    <t>Analyst II</t>
  </si>
  <si>
    <t>Mateo Vu</t>
  </si>
  <si>
    <t>Caroline Jenkins</t>
  </si>
  <si>
    <t>Nora Brown</t>
  </si>
  <si>
    <t>Enterprise Architect</t>
  </si>
  <si>
    <t>Adeline Huang</t>
  </si>
  <si>
    <t>Jackson Perry</t>
  </si>
  <si>
    <t>Riley Padilla</t>
  </si>
  <si>
    <t>Leah Pena</t>
  </si>
  <si>
    <t>Owen Lam</t>
  </si>
  <si>
    <t>Sr. Business Partner</t>
  </si>
  <si>
    <t>Kennedy Foster</t>
  </si>
  <si>
    <t>John Moore</t>
  </si>
  <si>
    <t>William Vu</t>
  </si>
  <si>
    <t>Sadie Washington</t>
  </si>
  <si>
    <t>Gabriel Holmes</t>
  </si>
  <si>
    <t>Wyatt Rojas</t>
  </si>
  <si>
    <t>Eva Coleman</t>
  </si>
  <si>
    <t>Dominic Clark</t>
  </si>
  <si>
    <t>EEID</t>
  </si>
  <si>
    <t>Annual Salary</t>
  </si>
  <si>
    <t>E02387</t>
  </si>
  <si>
    <t>E04105</t>
  </si>
  <si>
    <t>E02572</t>
  </si>
  <si>
    <t>E02832</t>
  </si>
  <si>
    <t>E01639</t>
  </si>
  <si>
    <t>E00644</t>
  </si>
  <si>
    <t>E01550</t>
  </si>
  <si>
    <t>E04332</t>
  </si>
  <si>
    <t>E04533</t>
  </si>
  <si>
    <t>E03838</t>
  </si>
  <si>
    <t>E00591</t>
  </si>
  <si>
    <t>E03344</t>
  </si>
  <si>
    <t>E00530</t>
  </si>
  <si>
    <t>E04239</t>
  </si>
  <si>
    <t>E03496</t>
  </si>
  <si>
    <t>E00549</t>
  </si>
  <si>
    <t>E00163</t>
  </si>
  <si>
    <t>E00884</t>
  </si>
  <si>
    <t>E04116</t>
  </si>
  <si>
    <t>E04625</t>
  </si>
  <si>
    <t>E03680</t>
  </si>
  <si>
    <t>E04732</t>
  </si>
  <si>
    <t>E03484</t>
  </si>
  <si>
    <t>E00671</t>
  </si>
  <si>
    <t>E02071</t>
  </si>
  <si>
    <t>E02206</t>
  </si>
  <si>
    <t>E04545</t>
  </si>
  <si>
    <t>E00154</t>
  </si>
  <si>
    <t>E03343</t>
  </si>
  <si>
    <t>E00304</t>
  </si>
  <si>
    <t>E02594</t>
  </si>
  <si>
    <t>E00402</t>
  </si>
  <si>
    <t>E01994</t>
  </si>
  <si>
    <t>E03549</t>
  </si>
  <si>
    <t>E03247</t>
  </si>
  <si>
    <t>E02074</t>
  </si>
  <si>
    <t>E04152</t>
  </si>
  <si>
    <t>E01628</t>
  </si>
  <si>
    <t>E04285</t>
  </si>
  <si>
    <t>E01417</t>
  </si>
  <si>
    <t>E01754</t>
  </si>
  <si>
    <t>E03749</t>
  </si>
  <si>
    <t>E03574</t>
  </si>
  <si>
    <t>E04600</t>
  </si>
  <si>
    <t>E00586</t>
  </si>
  <si>
    <t>E03538</t>
  </si>
  <si>
    <t>E02185</t>
  </si>
  <si>
    <t>E03830</t>
  </si>
  <si>
    <t>E03720</t>
  </si>
  <si>
    <t>E03025</t>
  </si>
  <si>
    <t>Lucy Alexander</t>
  </si>
  <si>
    <t>E04917</t>
  </si>
  <si>
    <t>Everleigh Washington</t>
  </si>
  <si>
    <t>HRIS Analyst</t>
  </si>
  <si>
    <t>E00415</t>
  </si>
  <si>
    <t>Leilani Butler</t>
  </si>
  <si>
    <t>E02862</t>
  </si>
  <si>
    <t>Peyton Huang</t>
  </si>
  <si>
    <t>E04207</t>
  </si>
  <si>
    <t>John Contreras</t>
  </si>
  <si>
    <t>E02139</t>
  </si>
  <si>
    <t>Rylee Yu</t>
  </si>
  <si>
    <t>E01797</t>
  </si>
  <si>
    <t>Piper Lewis</t>
  </si>
  <si>
    <t>Field Engineer</t>
  </si>
  <si>
    <t>E01839</t>
  </si>
  <si>
    <t>Stella Alexander</t>
  </si>
  <si>
    <t>Automation Engineer</t>
  </si>
  <si>
    <t>E01633</t>
  </si>
  <si>
    <t>Addison Do</t>
  </si>
  <si>
    <t>Operations Engineer</t>
  </si>
  <si>
    <t>E01848</t>
  </si>
  <si>
    <t>Zoey Jackson</t>
  </si>
  <si>
    <t>Business Partner</t>
  </si>
  <si>
    <t>E00716</t>
  </si>
  <si>
    <t>John Chow</t>
  </si>
  <si>
    <t>E00699</t>
  </si>
  <si>
    <t>Ava Ayala</t>
  </si>
  <si>
    <t>E00502</t>
  </si>
  <si>
    <t>Natalia Salazar</t>
  </si>
  <si>
    <t>E04000</t>
  </si>
  <si>
    <t>Skylar Carrillo</t>
  </si>
  <si>
    <t>E02112</t>
  </si>
  <si>
    <t>Christian Sanders</t>
  </si>
  <si>
    <t>E03824</t>
  </si>
  <si>
    <t>Penelope Coleman</t>
  </si>
  <si>
    <t>E03906</t>
  </si>
  <si>
    <t>Piper Richardson</t>
  </si>
  <si>
    <t>E00436</t>
  </si>
  <si>
    <t>Everly Walker</t>
  </si>
  <si>
    <t>E04798</t>
  </si>
  <si>
    <t>Aurora Ali</t>
  </si>
  <si>
    <t>E01249</t>
  </si>
  <si>
    <t>Penelope Guerrero</t>
  </si>
  <si>
    <t>E03349</t>
  </si>
  <si>
    <t>Anna Mehta</t>
  </si>
  <si>
    <t>Cloud Infrastructure Architect</t>
  </si>
  <si>
    <t>E02966</t>
  </si>
  <si>
    <t>William Foster</t>
  </si>
  <si>
    <t>E01499</t>
  </si>
  <si>
    <t>Jade Rojas</t>
  </si>
  <si>
    <t>E00105</t>
  </si>
  <si>
    <t>Isla Espinoza</t>
  </si>
  <si>
    <t>E00665</t>
  </si>
  <si>
    <t>David Chu</t>
  </si>
  <si>
    <t>E00791</t>
  </si>
  <si>
    <t>Thomas Padilla</t>
  </si>
  <si>
    <t>E01540</t>
  </si>
  <si>
    <t>Miles Salazar</t>
  </si>
  <si>
    <t>E04474</t>
  </si>
  <si>
    <t>Mila Hong</t>
  </si>
  <si>
    <t>Test Engineer</t>
  </si>
  <si>
    <t>E03417</t>
  </si>
  <si>
    <t>Benjamin Moua</t>
  </si>
  <si>
    <t>E00254</t>
  </si>
  <si>
    <t>Samuel Morales</t>
  </si>
  <si>
    <t>E02166</t>
  </si>
  <si>
    <t>John Soto</t>
  </si>
  <si>
    <t>E00935</t>
  </si>
  <si>
    <t>Joseph Martin</t>
  </si>
  <si>
    <t>E01525</t>
  </si>
  <si>
    <t>Jose Ross</t>
  </si>
  <si>
    <t>E00386</t>
  </si>
  <si>
    <t>Parker James</t>
  </si>
  <si>
    <t>E00416</t>
  </si>
  <si>
    <t>Everleigh Fernandez</t>
  </si>
  <si>
    <t>E03383</t>
  </si>
  <si>
    <t>Lincoln Hall</t>
  </si>
  <si>
    <t>E01516</t>
  </si>
  <si>
    <t>Willow Mai</t>
  </si>
  <si>
    <t>E01234</t>
  </si>
  <si>
    <t>Jack Cheng</t>
  </si>
  <si>
    <t>E03440</t>
  </si>
  <si>
    <t>Genesis Navarro</t>
  </si>
  <si>
    <t>E00431</t>
  </si>
  <si>
    <t>Eliza Hernandez</t>
  </si>
  <si>
    <t>Network Architect</t>
  </si>
  <si>
    <t>E01258</t>
  </si>
  <si>
    <t>Gabriel Brooks</t>
  </si>
  <si>
    <t>Network Engineer</t>
  </si>
  <si>
    <t>E00440</t>
  </si>
  <si>
    <t>Jack Huynh</t>
  </si>
  <si>
    <t>E00595</t>
  </si>
  <si>
    <t>Everly Chow</t>
  </si>
  <si>
    <t>E00972</t>
  </si>
  <si>
    <t>Amelia Salazar</t>
  </si>
  <si>
    <t>E04562</t>
  </si>
  <si>
    <t>Xavier Zheng</t>
  </si>
  <si>
    <t>E02802</t>
  </si>
  <si>
    <t>Matthew Chau</t>
  </si>
  <si>
    <t>E01427</t>
  </si>
  <si>
    <t>Mia Cheng</t>
  </si>
  <si>
    <t>E04568</t>
  </si>
  <si>
    <t>E04931</t>
  </si>
  <si>
    <t>Zoe Romero</t>
  </si>
  <si>
    <t>E00443</t>
  </si>
  <si>
    <t>Nolan Bui</t>
  </si>
  <si>
    <t xml:space="preserve">Range </t>
  </si>
  <si>
    <t>F</t>
  </si>
  <si>
    <t>VLOOKUP only applied on primary column and will work only left to right</t>
  </si>
  <si>
    <t>XLOOKUP</t>
  </si>
  <si>
    <t>P1</t>
  </si>
  <si>
    <t>P2</t>
  </si>
  <si>
    <t>P3</t>
  </si>
  <si>
    <t>P4</t>
  </si>
  <si>
    <t>P5</t>
  </si>
  <si>
    <t>P6</t>
  </si>
  <si>
    <t>P7</t>
  </si>
  <si>
    <t>P8</t>
  </si>
  <si>
    <t>Laptop</t>
  </si>
  <si>
    <t>Cable</t>
  </si>
  <si>
    <t>Tablet</t>
  </si>
  <si>
    <t>Mobile</t>
  </si>
  <si>
    <t>PC</t>
  </si>
  <si>
    <t>Keyboard</t>
  </si>
  <si>
    <t>Mouse</t>
  </si>
  <si>
    <t>CPU</t>
  </si>
  <si>
    <t>Price</t>
  </si>
  <si>
    <t>Product ID</t>
  </si>
  <si>
    <t>Order ID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</si>
  <si>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</si>
  <si>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</si>
  <si>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</si>
  <si>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</si>
  <si>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</si>
  <si>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</si>
  <si>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</si>
  <si>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</si>
  <si>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</si>
  <si>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</si>
  <si>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</si>
  <si>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</si>
  <si>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</si>
  <si>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</si>
  <si>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</si>
  <si>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</si>
  <si>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</si>
  <si>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</si>
  <si>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</si>
  <si>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</si>
  <si>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Quantity</t>
  </si>
  <si>
    <t>Price (Vlookup)</t>
  </si>
  <si>
    <t>Price (Index+Match)</t>
  </si>
  <si>
    <t>Price (Xlookup)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</si>
</sst>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4" formatCode="&quot;$&quot;#,##0_);\(&quot;$&quot;#,##0\);&quot;$&quot;0_)"/>
    <numFmt numFmtId="169" formatCode="_-[$$-409]* #,##0_ ;_-[$$-409]* \-#,##0\ ;_-[$$-409]* &quot;-&quot;??_ ;_-@_ "/>
  </numFmts>
  <fonts count="5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FFFF"/>
      <name val="Aptos Narrow"/>
      <family val="2"/>
      <scheme val="minor"/>
    </font>
    <font>
      <sz val="11"/>
      <color theme="1"/>
      <name val="Calibri"/>
      <family val="2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3DB182"/>
        <bgColor indexed="64"/>
      </patternFill>
    </fill>
  </fills>
  <borders count="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4">
    <xf numFmtId="0" fontId="0" fillId="0" borderId="0" xfId="0"/>
    <xf numFmtId="14" fontId="0" fillId="0" borderId="0" xfId="0" applyNumberFormat="1"/>
    <xf numFmtId="22" fontId="0" fillId="0" borderId="0" xfId="0" applyNumberFormat="1"/>
    <xf numFmtId="0" fontId="2" fillId="3" borderId="1" xfId="0" applyFont="1" applyFill="1" applyBorder="1" applyAlignment="1">
      <alignment horizontal="left"/>
    </xf>
    <xf numFmtId="0" fontId="0" fillId="0" borderId="2" xfId="0" applyBorder="1"/>
    <xf numFmtId="14" fontId="0" fillId="0" borderId="2" xfId="0" applyNumberFormat="1" applyBorder="1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164" fontId="0" fillId="0" borderId="2" xfId="0" applyNumberFormat="1" applyBorder="1"/>
    <xf numFmtId="0" fontId="2" fillId="3" borderId="3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169" fontId="0" fillId="0" borderId="0" xfId="1" applyNumberFormat="1" applyFont="1"/>
    <xf numFmtId="169" fontId="0" fillId="0" borderId="0" xfId="0" applyNumberFormat="1"/>
  </cellXfs>
  <cellStyles count="2">
    <cellStyle name="Currency" xfId="1" builtinId="4"/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3DB182"/>
        </patternFill>
      </fill>
      <alignment horizontal="left" vertical="bottom" textRotation="0" wrapText="0" indent="0" justifyLastLine="0" shrinkToFit="0" readingOrder="0"/>
      <border diagonalUp="0" diagonalDown="0" outline="0">
        <left style="medium">
          <color rgb="FFFFFFFF"/>
        </left>
        <right style="medium">
          <color rgb="FFFFFFFF"/>
        </right>
        <top/>
        <bottom/>
      </border>
    </dxf>
    <dxf>
      <numFmt numFmtId="164" formatCode="&quot;$&quot;#,##0_);\(&quot;$&quot;#,##0\);&quot;$&quot;0_)"/>
      <border diagonalUp="0" diagonalDown="0">
        <left/>
        <right/>
        <top style="thin">
          <color theme="9"/>
        </top>
        <bottom/>
        <vertical/>
        <horizontal/>
      </border>
    </dxf>
    <dxf>
      <numFmt numFmtId="19" formatCode="dd/mm/yyyy"/>
      <border diagonalUp="0" diagonalDown="0">
        <left/>
        <right/>
        <top style="thin">
          <color theme="9"/>
        </top>
        <bottom/>
        <vertical/>
        <horizontal/>
      </border>
    </dxf>
    <dxf>
      <border diagonalUp="0" diagonalDown="0">
        <left/>
        <right/>
        <top style="thin">
          <color theme="9"/>
        </top>
        <bottom/>
        <vertical/>
        <horizontal/>
      </border>
    </dxf>
    <dxf>
      <border diagonalUp="0" diagonalDown="0">
        <left/>
        <right/>
        <top style="thin">
          <color theme="9"/>
        </top>
        <bottom/>
        <vertical/>
        <horizontal/>
      </border>
    </dxf>
    <dxf>
      <border diagonalUp="0" diagonalDown="0">
        <left/>
        <right/>
        <top style="thin">
          <color theme="9"/>
        </top>
        <bottom/>
        <vertical/>
        <horizontal/>
      </border>
    </dxf>
    <dxf>
      <border diagonalUp="0" diagonalDown="0">
        <left/>
        <right/>
        <top style="thin">
          <color theme="9"/>
        </top>
        <bottom/>
        <vertical/>
        <horizontal/>
      </border>
    </dxf>
    <dxf>
      <border diagonalUp="0" diagonalDown="0">
        <left/>
        <right/>
        <top style="thin">
          <color theme="9"/>
        </top>
        <bottom/>
        <vertical/>
        <horizontal/>
      </border>
    </dxf>
    <dxf>
      <border diagonalUp="0" diagonalDown="0">
        <left/>
        <right/>
        <top style="thin">
          <color theme="9"/>
        </top>
        <bottom/>
        <vertical/>
        <horizontal/>
      </border>
    </dxf>
    <dxf>
      <border diagonalUp="0" diagonalDown="0">
        <left/>
        <right/>
        <top style="thin">
          <color theme="9"/>
        </top>
        <bottom/>
        <vertical/>
        <horizontal/>
      </border>
    </dxf>
    <dxf>
      <border diagonalUp="0" diagonalDown="0">
        <left/>
        <right/>
        <top style="thin">
          <color theme="9"/>
        </top>
        <bottom/>
        <vertical/>
        <horizontal/>
      </border>
    </dxf>
    <dxf>
      <border outline="0">
        <left style="thin">
          <color theme="9"/>
        </left>
        <top style="thin">
          <color theme="9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38AA46-77A9-4802-97F6-11BC8D339D65}" name="Table1" displayName="Table1" ref="A5:J104" totalsRowShown="0" headerRowDxfId="3" tableBorderDxfId="14">
  <tableColumns count="10">
    <tableColumn id="1" xr3:uid="{0F2D49A6-82B3-42CA-A974-897C513272EF}" name="EEID" dataDxfId="13"/>
    <tableColumn id="2" xr3:uid="{36ED1CA0-CCDD-4B5D-ABAC-416D03155931}" name="Full Name" dataDxfId="12"/>
    <tableColumn id="3" xr3:uid="{82F8EA90-4E28-4FD7-94CA-883EB0404FE6}" name="Job Title" dataDxfId="11"/>
    <tableColumn id="4" xr3:uid="{2BFF0CC4-6DE5-464D-9FA6-9973069B17C1}" name="Department" dataDxfId="10"/>
    <tableColumn id="5" xr3:uid="{4F64B27C-A320-424C-863E-76BF0BE1DF76}" name="Business Unit" dataDxfId="9"/>
    <tableColumn id="6" xr3:uid="{8230FB04-055C-4340-95B5-AB0CB475F814}" name="Gender" dataDxfId="8"/>
    <tableColumn id="7" xr3:uid="{8B237480-1D53-471C-8BCC-E2E4F265A2EE}" name="Ethnicity" dataDxfId="7"/>
    <tableColumn id="8" xr3:uid="{26D5E691-C9A8-4539-B4CB-6F02DDC9C505}" name="Age" dataDxfId="6"/>
    <tableColumn id="9" xr3:uid="{2FF320DA-3FBC-4496-91A2-6EA18C0F0D4B}" name="Hire Date" dataDxfId="5"/>
    <tableColumn id="10" xr3:uid="{1F7F6964-3E64-475C-AEA0-59DBE782A273}" name="Annual Salary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CFD275-790B-4429-8DF8-E0BC0DB3B75C}" name="Table2" displayName="Table2" ref="B2:D10" totalsRowShown="0">
  <autoFilter ref="B2:D10" xr:uid="{24CFD275-790B-4429-8DF8-E0BC0DB3B75C}"/>
  <tableColumns count="3">
    <tableColumn id="1" xr3:uid="{25706864-8FF9-4D83-9CE9-CC59859D93E7}" name="Product ID"/>
    <tableColumn id="2" xr3:uid="{7E158A72-1DBC-4498-A808-254FA6E99AEA}" name="Name"/>
    <tableColumn id="3" xr3:uid="{9B5C8738-62D1-403D-A59A-A922E3FEDB1C}" name="Pri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A71B8F2-6574-4800-85D9-A4751707CCC3}" name="Table3" displayName="Table3" ref="B2:G22" totalsRowShown="0">
  <autoFilter ref="B2:G22" xr:uid="{2A71B8F2-6574-4800-85D9-A4751707CCC3}"/>
  <tableColumns count="6">
    <tableColumn id="1" xr3:uid="{E55079A3-8090-47DC-8235-A4F9E3ABA3C8}" name="Order ID"/>
    <tableColumn id="2" xr3:uid="{420C3EFD-E5D1-4AD1-9C17-6E4CBEEE08BB}" name="Product ID"/>
    <tableColumn id="3" xr3:uid="{23710E09-5188-4612-B39E-97DEB4423E07}" name="Quantity">
      <calculatedColumnFormula>RANDBETWEEN(1,5)</calculatedColumnFormula>
    </tableColumn>
    <tableColumn id="4" xr3:uid="{7E9BD499-3BD6-459A-B4AE-0A499645E098}" name="Price (Vlookup)" dataDxfId="2">
      <calculatedColumnFormula>VLOOKUP(Table3[[#This Row],[Product ID]],Table2[],3)</calculatedColumnFormula>
    </tableColumn>
    <tableColumn id="5" xr3:uid="{8700BE68-94AC-488C-A426-757A8082CB80}" name="Price (Index+Match)" dataDxfId="0">
      <calculatedColumnFormula>INDEX(Table2[Price],MATCH(Table3[[#This Row],[Product ID]],Table2[Product ID]))</calculatedColumnFormula>
    </tableColumn>
    <tableColumn id="6" xr3:uid="{D729A07C-59EC-45B9-A1A8-56D40B758B85}" name="Price (Xlookup)" dataDxfId="1">
      <calculatedColumnFormula>_xlfn.XLOOKUP(Table3[[#This Row],[Product ID]],Table2[Product ID],Table2[Price])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118D9-C500-44A1-9BBF-9EDCD5C2B8BB}">
  <dimension ref="A2:I16"/>
  <sheetViews>
    <sheetView topLeftCell="A4" workbookViewId="0">
      <selection activeCell="G12" sqref="G12"/>
    </sheetView>
  </sheetViews>
  <sheetFormatPr defaultRowHeight="14.5" x14ac:dyDescent="0.35"/>
  <cols>
    <col min="1" max="1" width="15.90625" bestFit="1" customWidth="1"/>
    <col min="2" max="2" width="11.7265625" bestFit="1" customWidth="1"/>
    <col min="3" max="3" width="11.36328125" bestFit="1" customWidth="1"/>
    <col min="6" max="6" width="14.7265625" bestFit="1" customWidth="1"/>
  </cols>
  <sheetData>
    <row r="2" spans="1:9" x14ac:dyDescent="0.35">
      <c r="A2" t="s">
        <v>2</v>
      </c>
      <c r="E2" t="s">
        <v>0</v>
      </c>
      <c r="F2" t="s">
        <v>1</v>
      </c>
      <c r="G2" t="s">
        <v>3</v>
      </c>
      <c r="H2" t="s">
        <v>4</v>
      </c>
      <c r="I2" t="s">
        <v>6</v>
      </c>
    </row>
    <row r="3" spans="1:9" x14ac:dyDescent="0.35">
      <c r="B3">
        <v>3</v>
      </c>
      <c r="C3">
        <v>0</v>
      </c>
      <c r="D3" t="e">
        <f>B3/C3</f>
        <v>#DIV/0!</v>
      </c>
      <c r="E3" t="b">
        <f>ISERROR(B3/C3)</f>
        <v>1</v>
      </c>
      <c r="F3" t="str">
        <f>IFERROR(B3/C3,"There is an error")</f>
        <v>There is an error</v>
      </c>
      <c r="G3" t="b">
        <f>ISEVEN(B3)</f>
        <v>0</v>
      </c>
      <c r="H3" t="b">
        <f>ISODD(B3)</f>
        <v>1</v>
      </c>
      <c r="I3" t="b">
        <f>ISNUMBER(B3)</f>
        <v>1</v>
      </c>
    </row>
    <row r="4" spans="1:9" x14ac:dyDescent="0.35">
      <c r="B4">
        <v>4.2</v>
      </c>
      <c r="C4">
        <v>2</v>
      </c>
      <c r="D4">
        <f t="shared" ref="D4:D5" si="0">B4/C4</f>
        <v>2.1</v>
      </c>
      <c r="E4" t="b">
        <f t="shared" ref="E4:E5" si="1">ISERROR(B4/C4)</f>
        <v>0</v>
      </c>
      <c r="F4">
        <f t="shared" ref="F4:F5" si="2">IFERROR(B4/C4,"There is an error")</f>
        <v>2.1</v>
      </c>
      <c r="G4" t="b">
        <f t="shared" ref="G4:G5" si="3">ISEVEN(B4)</f>
        <v>1</v>
      </c>
      <c r="H4" t="b">
        <f t="shared" ref="H4:H5" si="4">ISODD(B4)</f>
        <v>0</v>
      </c>
      <c r="I4" t="b">
        <f t="shared" ref="I4:I7" si="5">ISNUMBER(B4)</f>
        <v>1</v>
      </c>
    </row>
    <row r="5" spans="1:9" x14ac:dyDescent="0.35">
      <c r="B5">
        <v>10</v>
      </c>
      <c r="C5">
        <v>5</v>
      </c>
      <c r="D5">
        <f t="shared" si="0"/>
        <v>2</v>
      </c>
      <c r="E5" t="b">
        <f t="shared" si="1"/>
        <v>0</v>
      </c>
      <c r="F5">
        <f t="shared" si="2"/>
        <v>2</v>
      </c>
      <c r="G5" t="b">
        <f t="shared" si="3"/>
        <v>1</v>
      </c>
      <c r="H5" t="b">
        <f t="shared" si="4"/>
        <v>0</v>
      </c>
      <c r="I5" t="b">
        <f t="shared" si="5"/>
        <v>1</v>
      </c>
    </row>
    <row r="6" spans="1:9" x14ac:dyDescent="0.35">
      <c r="B6" t="s">
        <v>5</v>
      </c>
      <c r="I6" t="b">
        <f t="shared" si="5"/>
        <v>0</v>
      </c>
    </row>
    <row r="7" spans="1:9" x14ac:dyDescent="0.35">
      <c r="B7" s="1">
        <f ca="1">TODAY()</f>
        <v>46178</v>
      </c>
      <c r="I7" t="b">
        <f t="shared" ca="1" si="5"/>
        <v>1</v>
      </c>
    </row>
    <row r="11" spans="1:9" x14ac:dyDescent="0.35">
      <c r="A11" t="s">
        <v>7</v>
      </c>
      <c r="B11" t="s">
        <v>8</v>
      </c>
      <c r="C11" t="s">
        <v>9</v>
      </c>
    </row>
    <row r="12" spans="1:9" x14ac:dyDescent="0.35">
      <c r="B12">
        <v>2000</v>
      </c>
      <c r="C12" t="s">
        <v>10</v>
      </c>
      <c r="D12" t="str">
        <f>SUBSTITUTE(C12,"OFF","")</f>
        <v xml:space="preserve">40% </v>
      </c>
      <c r="E12" t="str">
        <f>SUBSTITUTE(D12,"%",)</f>
        <v xml:space="preserve">40 </v>
      </c>
      <c r="F12">
        <f>_xlfn.NUMBERVALUE(SUBSTITUTE(E12,"Rs.",))</f>
        <v>40</v>
      </c>
      <c r="G12">
        <f>IF(ISNUMBER(SEARCH("Rs. ",D12)), B12-F12, B12*D12)</f>
        <v>800</v>
      </c>
    </row>
    <row r="13" spans="1:9" x14ac:dyDescent="0.35">
      <c r="B13">
        <v>3000</v>
      </c>
      <c r="C13" t="s">
        <v>11</v>
      </c>
      <c r="D13" t="str">
        <f t="shared" ref="D13:D16" si="6">SUBSTITUTE(C13,"OFF","")</f>
        <v xml:space="preserve">25% </v>
      </c>
      <c r="E13" t="str">
        <f t="shared" ref="E13:E16" si="7">SUBSTITUTE(D13,"%",)</f>
        <v xml:space="preserve">25 </v>
      </c>
      <c r="F13">
        <f t="shared" ref="F13:F16" si="8">_xlfn.NUMBERVALUE(SUBSTITUTE(E13,"Rs.",))</f>
        <v>25</v>
      </c>
      <c r="G13">
        <f t="shared" ref="G13:G16" si="9">IF(ISNUMBER(SEARCH("Rs. ",D13)), B13-F13, B13*D13)</f>
        <v>750</v>
      </c>
    </row>
    <row r="14" spans="1:9" x14ac:dyDescent="0.35">
      <c r="B14">
        <v>1200</v>
      </c>
      <c r="C14" t="s">
        <v>12</v>
      </c>
      <c r="D14" t="str">
        <f t="shared" si="6"/>
        <v xml:space="preserve">Rs. 400 </v>
      </c>
      <c r="E14" t="str">
        <f t="shared" si="7"/>
        <v xml:space="preserve">Rs. 400 </v>
      </c>
      <c r="F14">
        <f t="shared" si="8"/>
        <v>400</v>
      </c>
      <c r="G14">
        <f t="shared" si="9"/>
        <v>800</v>
      </c>
    </row>
    <row r="15" spans="1:9" x14ac:dyDescent="0.35">
      <c r="B15">
        <v>5000</v>
      </c>
      <c r="C15" t="s">
        <v>13</v>
      </c>
      <c r="D15" t="str">
        <f t="shared" si="6"/>
        <v xml:space="preserve">Rs. 1200 </v>
      </c>
      <c r="E15" t="str">
        <f t="shared" si="7"/>
        <v xml:space="preserve">Rs. 1200 </v>
      </c>
      <c r="F15">
        <f t="shared" si="8"/>
        <v>1200</v>
      </c>
      <c r="G15">
        <f t="shared" si="9"/>
        <v>3800</v>
      </c>
    </row>
    <row r="16" spans="1:9" x14ac:dyDescent="0.35">
      <c r="B16">
        <v>2300</v>
      </c>
      <c r="C16" t="s">
        <v>14</v>
      </c>
      <c r="D16" t="str">
        <f t="shared" si="6"/>
        <v xml:space="preserve">30% </v>
      </c>
      <c r="E16" t="str">
        <f t="shared" si="7"/>
        <v xml:space="preserve">30 </v>
      </c>
      <c r="F16">
        <f t="shared" si="8"/>
        <v>30</v>
      </c>
      <c r="G16">
        <f t="shared" si="9"/>
        <v>690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DA9B4-0098-4288-99C4-995BCB9D9B34}">
  <dimension ref="A5:H28"/>
  <sheetViews>
    <sheetView topLeftCell="A19" zoomScale="145" zoomScaleNormal="145" workbookViewId="0">
      <selection activeCell="A28" sqref="A28"/>
    </sheetView>
  </sheetViews>
  <sheetFormatPr defaultRowHeight="14.5" x14ac:dyDescent="0.35"/>
  <cols>
    <col min="1" max="1" width="12.36328125" bestFit="1" customWidth="1"/>
    <col min="2" max="2" width="26.1796875" bestFit="1" customWidth="1"/>
    <col min="3" max="3" width="15.1796875" bestFit="1" customWidth="1"/>
    <col min="7" max="9" width="10.08984375" bestFit="1" customWidth="1"/>
  </cols>
  <sheetData>
    <row r="5" spans="1:8" x14ac:dyDescent="0.35">
      <c r="B5" t="s">
        <v>18</v>
      </c>
      <c r="C5" t="s">
        <v>19</v>
      </c>
    </row>
    <row r="6" spans="1:8" x14ac:dyDescent="0.35">
      <c r="B6" s="1">
        <f ca="1">TODAY()</f>
        <v>46178</v>
      </c>
      <c r="C6" s="2">
        <f ca="1">NOW()</f>
        <v>46178.691315972224</v>
      </c>
      <c r="G6" s="1">
        <f ca="1">TODAY()</f>
        <v>46178</v>
      </c>
    </row>
    <row r="8" spans="1:8" x14ac:dyDescent="0.35">
      <c r="A8" t="s">
        <v>17</v>
      </c>
      <c r="B8">
        <f ca="1">YEAR(B6)</f>
        <v>2026</v>
      </c>
      <c r="D8" t="s">
        <v>22</v>
      </c>
      <c r="E8">
        <f ca="1">HOUR(C6)</f>
        <v>16</v>
      </c>
      <c r="G8" t="s">
        <v>25</v>
      </c>
      <c r="H8" s="1">
        <f ca="1">G6+3</f>
        <v>46181</v>
      </c>
    </row>
    <row r="9" spans="1:8" x14ac:dyDescent="0.35">
      <c r="A9" t="s">
        <v>15</v>
      </c>
      <c r="B9">
        <f ca="1">MONTH(B6)</f>
        <v>6</v>
      </c>
      <c r="D9" t="s">
        <v>23</v>
      </c>
      <c r="E9">
        <f ca="1">MINUTE(C6)</f>
        <v>35</v>
      </c>
      <c r="G9" t="s">
        <v>26</v>
      </c>
      <c r="H9" s="1">
        <f ca="1">G6-7</f>
        <v>46171</v>
      </c>
    </row>
    <row r="10" spans="1:8" x14ac:dyDescent="0.35">
      <c r="A10" t="s">
        <v>16</v>
      </c>
      <c r="B10">
        <f ca="1">DAY(B6)</f>
        <v>5</v>
      </c>
      <c r="D10" t="s">
        <v>24</v>
      </c>
      <c r="E10">
        <f ca="1">SECOND(C6)</f>
        <v>30</v>
      </c>
    </row>
    <row r="12" spans="1:8" x14ac:dyDescent="0.35">
      <c r="A12" s="7" t="s">
        <v>21</v>
      </c>
      <c r="B12" s="7"/>
    </row>
    <row r="13" spans="1:8" x14ac:dyDescent="0.35">
      <c r="A13" t="s">
        <v>15</v>
      </c>
      <c r="B13" t="str">
        <f ca="1">TEXT(B6,"MMMM")</f>
        <v>June</v>
      </c>
    </row>
    <row r="14" spans="1:8" x14ac:dyDescent="0.35">
      <c r="A14" t="s">
        <v>16</v>
      </c>
      <c r="B14" t="str">
        <f ca="1">TEXT(B6,"D")</f>
        <v>5</v>
      </c>
    </row>
    <row r="15" spans="1:8" x14ac:dyDescent="0.35">
      <c r="A15" t="s">
        <v>17</v>
      </c>
      <c r="B15" t="str">
        <f ca="1">TEXT(B6,"yy")</f>
        <v>26</v>
      </c>
    </row>
    <row r="16" spans="1:8" x14ac:dyDescent="0.35">
      <c r="A16" t="s">
        <v>20</v>
      </c>
      <c r="B16" t="str">
        <f ca="1">TEXT(B6,"DDDD,DD-MMMM-YYYY")</f>
        <v>Friday,05-June-2026</v>
      </c>
    </row>
    <row r="18" spans="1:2" x14ac:dyDescent="0.35">
      <c r="A18" t="s">
        <v>27</v>
      </c>
    </row>
    <row r="19" spans="1:2" x14ac:dyDescent="0.35">
      <c r="A19" t="s">
        <v>28</v>
      </c>
      <c r="B19" s="1">
        <f ca="1">EDATE(B6,5)</f>
        <v>46331</v>
      </c>
    </row>
    <row r="20" spans="1:2" x14ac:dyDescent="0.35">
      <c r="A20" t="s">
        <v>29</v>
      </c>
      <c r="B20" s="1">
        <f ca="1">EDATE(B6,-4)</f>
        <v>46058</v>
      </c>
    </row>
    <row r="22" spans="1:2" x14ac:dyDescent="0.35">
      <c r="A22" t="s">
        <v>30</v>
      </c>
      <c r="B22" t="s">
        <v>31</v>
      </c>
    </row>
    <row r="23" spans="1:2" x14ac:dyDescent="0.35">
      <c r="A23" s="1">
        <v>46143</v>
      </c>
      <c r="B23">
        <f>NETWORKDAYS(A23,A24,A25)</f>
        <v>20</v>
      </c>
    </row>
    <row r="24" spans="1:2" x14ac:dyDescent="0.35">
      <c r="A24" s="1">
        <v>46173</v>
      </c>
    </row>
    <row r="25" spans="1:2" x14ac:dyDescent="0.35">
      <c r="A25" s="1">
        <v>46170</v>
      </c>
    </row>
    <row r="27" spans="1:2" x14ac:dyDescent="0.35">
      <c r="A27" s="8" t="s">
        <v>32</v>
      </c>
      <c r="B27" s="8"/>
    </row>
    <row r="28" spans="1:2" x14ac:dyDescent="0.35">
      <c r="A28">
        <f>NETWORKDAYS.INTL(A23,A24,1,A25)</f>
        <v>20</v>
      </c>
    </row>
  </sheetData>
  <mergeCells count="2">
    <mergeCell ref="A12:B12"/>
    <mergeCell ref="A27:B2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CBB69-9EC8-43B4-A551-F667D54C71D2}">
  <dimension ref="E2:R194"/>
  <sheetViews>
    <sheetView workbookViewId="0">
      <selection activeCell="M18" sqref="M18"/>
    </sheetView>
  </sheetViews>
  <sheetFormatPr defaultRowHeight="14.5" x14ac:dyDescent="0.35"/>
  <sheetData>
    <row r="2" spans="5:18" x14ac:dyDescent="0.35">
      <c r="K2" s="6" t="s">
        <v>43</v>
      </c>
      <c r="L2" s="6"/>
      <c r="M2" s="6"/>
      <c r="N2" s="6"/>
      <c r="O2" s="6"/>
      <c r="P2" s="6"/>
    </row>
    <row r="3" spans="5:18" x14ac:dyDescent="0.35">
      <c r="E3" t="s">
        <v>33</v>
      </c>
      <c r="F3" t="s">
        <v>34</v>
      </c>
      <c r="G3" t="s">
        <v>35</v>
      </c>
      <c r="K3" t="s">
        <v>36</v>
      </c>
      <c r="L3" t="s">
        <v>37</v>
      </c>
    </row>
    <row r="4" spans="5:18" x14ac:dyDescent="0.35">
      <c r="F4">
        <f ca="1">RANDBETWEEN(4,98)</f>
        <v>30</v>
      </c>
      <c r="G4" t="str">
        <f ca="1">LOOKUP(F4,$K$4:$K$8,$L$4:$L$8)</f>
        <v>D</v>
      </c>
      <c r="K4">
        <v>0</v>
      </c>
      <c r="L4" t="s">
        <v>38</v>
      </c>
    </row>
    <row r="5" spans="5:18" x14ac:dyDescent="0.35">
      <c r="F5">
        <f t="shared" ref="F5:F21" ca="1" si="0">RANDBETWEEN(4,98)</f>
        <v>8</v>
      </c>
      <c r="G5" t="str">
        <f t="shared" ref="G5:G21" ca="1" si="1">LOOKUP(F5,$K$4:$K$8,$L$4:$L$8)</f>
        <v>D</v>
      </c>
      <c r="K5">
        <v>60</v>
      </c>
      <c r="L5" t="s">
        <v>39</v>
      </c>
    </row>
    <row r="6" spans="5:18" x14ac:dyDescent="0.35">
      <c r="F6">
        <f t="shared" ca="1" si="0"/>
        <v>24</v>
      </c>
      <c r="G6" t="str">
        <f t="shared" ca="1" si="1"/>
        <v>D</v>
      </c>
      <c r="K6">
        <v>70</v>
      </c>
      <c r="L6" t="s">
        <v>40</v>
      </c>
    </row>
    <row r="7" spans="5:18" x14ac:dyDescent="0.35">
      <c r="F7">
        <f t="shared" ca="1" si="0"/>
        <v>75</v>
      </c>
      <c r="G7" t="str">
        <f t="shared" ca="1" si="1"/>
        <v>B</v>
      </c>
      <c r="K7">
        <v>80</v>
      </c>
      <c r="L7" t="s">
        <v>41</v>
      </c>
    </row>
    <row r="8" spans="5:18" x14ac:dyDescent="0.35">
      <c r="F8">
        <f t="shared" ca="1" si="0"/>
        <v>10</v>
      </c>
      <c r="G8" t="str">
        <f t="shared" ca="1" si="1"/>
        <v>D</v>
      </c>
      <c r="K8">
        <v>90</v>
      </c>
      <c r="L8" t="s">
        <v>42</v>
      </c>
    </row>
    <row r="9" spans="5:18" x14ac:dyDescent="0.35">
      <c r="F9">
        <f t="shared" ca="1" si="0"/>
        <v>38</v>
      </c>
      <c r="G9" t="str">
        <f t="shared" ca="1" si="1"/>
        <v>D</v>
      </c>
    </row>
    <row r="10" spans="5:18" x14ac:dyDescent="0.35">
      <c r="F10">
        <f t="shared" ca="1" si="0"/>
        <v>41</v>
      </c>
      <c r="G10" t="str">
        <f t="shared" ca="1" si="1"/>
        <v>D</v>
      </c>
    </row>
    <row r="11" spans="5:18" x14ac:dyDescent="0.35">
      <c r="F11">
        <f t="shared" ca="1" si="0"/>
        <v>76</v>
      </c>
      <c r="G11" t="str">
        <f t="shared" ca="1" si="1"/>
        <v>B</v>
      </c>
    </row>
    <row r="12" spans="5:18" x14ac:dyDescent="0.35">
      <c r="F12">
        <f t="shared" ca="1" si="0"/>
        <v>25</v>
      </c>
      <c r="G12" t="str">
        <f t="shared" ca="1" si="1"/>
        <v>D</v>
      </c>
    </row>
    <row r="13" spans="5:18" x14ac:dyDescent="0.35">
      <c r="F13">
        <f t="shared" ca="1" si="0"/>
        <v>6</v>
      </c>
      <c r="G13" t="str">
        <f t="shared" ca="1" si="1"/>
        <v>D</v>
      </c>
      <c r="Q13" t="s">
        <v>293</v>
      </c>
      <c r="R13" t="s">
        <v>37</v>
      </c>
    </row>
    <row r="14" spans="5:18" x14ac:dyDescent="0.35">
      <c r="F14">
        <f t="shared" ca="1" si="0"/>
        <v>71</v>
      </c>
      <c r="G14" t="str">
        <f t="shared" ca="1" si="1"/>
        <v>B</v>
      </c>
      <c r="Q14">
        <v>0</v>
      </c>
      <c r="R14" t="s">
        <v>294</v>
      </c>
    </row>
    <row r="15" spans="5:18" x14ac:dyDescent="0.35">
      <c r="F15">
        <f t="shared" ca="1" si="0"/>
        <v>43</v>
      </c>
      <c r="G15" t="str">
        <f t="shared" ca="1" si="1"/>
        <v>D</v>
      </c>
      <c r="M15" t="s">
        <v>34</v>
      </c>
      <c r="N15" t="s">
        <v>37</v>
      </c>
      <c r="Q15">
        <v>50</v>
      </c>
      <c r="R15" t="s">
        <v>38</v>
      </c>
    </row>
    <row r="16" spans="5:18" x14ac:dyDescent="0.35">
      <c r="F16">
        <f t="shared" ca="1" si="0"/>
        <v>12</v>
      </c>
      <c r="G16" t="str">
        <f t="shared" ca="1" si="1"/>
        <v>D</v>
      </c>
      <c r="M16">
        <f ca="1">RANDBETWEEN(0,100)</f>
        <v>16</v>
      </c>
      <c r="N16" t="str">
        <f ca="1">LOOKUP(M16,$K$4:$K$8,$L$4:$L$8)</f>
        <v>D</v>
      </c>
      <c r="Q16">
        <v>60</v>
      </c>
      <c r="R16" t="s">
        <v>39</v>
      </c>
    </row>
    <row r="17" spans="6:18" x14ac:dyDescent="0.35">
      <c r="F17">
        <f t="shared" ca="1" si="0"/>
        <v>21</v>
      </c>
      <c r="G17" t="str">
        <f t="shared" ca="1" si="1"/>
        <v>D</v>
      </c>
      <c r="M17">
        <f t="shared" ref="M17:M80" ca="1" si="2">RANDBETWEEN(0,100)</f>
        <v>58</v>
      </c>
      <c r="N17" t="str">
        <f t="shared" ref="N17:N80" ca="1" si="3">LOOKUP(M17,$K$4:$K$8,$L$4:$L$8)</f>
        <v>D</v>
      </c>
      <c r="Q17">
        <v>70</v>
      </c>
      <c r="R17" t="s">
        <v>40</v>
      </c>
    </row>
    <row r="18" spans="6:18" x14ac:dyDescent="0.35">
      <c r="F18">
        <f t="shared" ca="1" si="0"/>
        <v>26</v>
      </c>
      <c r="G18" t="str">
        <f t="shared" ca="1" si="1"/>
        <v>D</v>
      </c>
      <c r="M18">
        <v>1</v>
      </c>
      <c r="N18" t="str">
        <f t="shared" si="3"/>
        <v>D</v>
      </c>
      <c r="Q18">
        <v>80</v>
      </c>
      <c r="R18" t="s">
        <v>41</v>
      </c>
    </row>
    <row r="19" spans="6:18" x14ac:dyDescent="0.35">
      <c r="F19">
        <f t="shared" ca="1" si="0"/>
        <v>47</v>
      </c>
      <c r="G19" t="str">
        <f t="shared" ca="1" si="1"/>
        <v>D</v>
      </c>
      <c r="M19">
        <f t="shared" ca="1" si="2"/>
        <v>100</v>
      </c>
      <c r="N19" t="str">
        <f t="shared" ca="1" si="3"/>
        <v>A+</v>
      </c>
      <c r="Q19">
        <v>90</v>
      </c>
      <c r="R19" t="s">
        <v>42</v>
      </c>
    </row>
    <row r="20" spans="6:18" x14ac:dyDescent="0.35">
      <c r="F20">
        <f t="shared" ca="1" si="0"/>
        <v>52</v>
      </c>
      <c r="G20" t="str">
        <f t="shared" ca="1" si="1"/>
        <v>D</v>
      </c>
      <c r="M20">
        <f t="shared" ca="1" si="2"/>
        <v>13</v>
      </c>
      <c r="N20" t="str">
        <f t="shared" ca="1" si="3"/>
        <v>D</v>
      </c>
    </row>
    <row r="21" spans="6:18" x14ac:dyDescent="0.35">
      <c r="F21">
        <f t="shared" ca="1" si="0"/>
        <v>26</v>
      </c>
      <c r="G21" t="str">
        <f t="shared" ca="1" si="1"/>
        <v>D</v>
      </c>
      <c r="M21">
        <f t="shared" ca="1" si="2"/>
        <v>48</v>
      </c>
      <c r="N21" t="str">
        <f t="shared" ca="1" si="3"/>
        <v>D</v>
      </c>
    </row>
    <row r="22" spans="6:18" x14ac:dyDescent="0.35">
      <c r="M22">
        <f t="shared" ca="1" si="2"/>
        <v>19</v>
      </c>
      <c r="N22" t="str">
        <f t="shared" ca="1" si="3"/>
        <v>D</v>
      </c>
    </row>
    <row r="23" spans="6:18" x14ac:dyDescent="0.35">
      <c r="M23">
        <f t="shared" ca="1" si="2"/>
        <v>50</v>
      </c>
      <c r="N23" t="str">
        <f t="shared" ca="1" si="3"/>
        <v>D</v>
      </c>
    </row>
    <row r="24" spans="6:18" x14ac:dyDescent="0.35">
      <c r="M24">
        <f t="shared" ca="1" si="2"/>
        <v>94</v>
      </c>
      <c r="N24" t="str">
        <f t="shared" ca="1" si="3"/>
        <v>A+</v>
      </c>
    </row>
    <row r="25" spans="6:18" x14ac:dyDescent="0.35">
      <c r="M25">
        <f t="shared" ca="1" si="2"/>
        <v>34</v>
      </c>
      <c r="N25" t="str">
        <f t="shared" ca="1" si="3"/>
        <v>D</v>
      </c>
    </row>
    <row r="26" spans="6:18" x14ac:dyDescent="0.35">
      <c r="M26">
        <f t="shared" ca="1" si="2"/>
        <v>64</v>
      </c>
      <c r="N26" t="str">
        <f t="shared" ca="1" si="3"/>
        <v>C</v>
      </c>
    </row>
    <row r="27" spans="6:18" x14ac:dyDescent="0.35">
      <c r="M27">
        <f t="shared" ca="1" si="2"/>
        <v>87</v>
      </c>
      <c r="N27" t="str">
        <f t="shared" ca="1" si="3"/>
        <v>A</v>
      </c>
    </row>
    <row r="28" spans="6:18" x14ac:dyDescent="0.35">
      <c r="M28">
        <f t="shared" ca="1" si="2"/>
        <v>38</v>
      </c>
      <c r="N28" t="str">
        <f t="shared" ca="1" si="3"/>
        <v>D</v>
      </c>
    </row>
    <row r="29" spans="6:18" x14ac:dyDescent="0.35">
      <c r="M29">
        <f t="shared" ca="1" si="2"/>
        <v>6</v>
      </c>
      <c r="N29" t="str">
        <f t="shared" ca="1" si="3"/>
        <v>D</v>
      </c>
    </row>
    <row r="30" spans="6:18" x14ac:dyDescent="0.35">
      <c r="M30">
        <f t="shared" ca="1" si="2"/>
        <v>86</v>
      </c>
      <c r="N30" t="str">
        <f t="shared" ca="1" si="3"/>
        <v>A</v>
      </c>
    </row>
    <row r="31" spans="6:18" x14ac:dyDescent="0.35">
      <c r="M31">
        <f t="shared" ca="1" si="2"/>
        <v>28</v>
      </c>
      <c r="N31" t="str">
        <f t="shared" ca="1" si="3"/>
        <v>D</v>
      </c>
    </row>
    <row r="32" spans="6:18" x14ac:dyDescent="0.35">
      <c r="M32">
        <f t="shared" ca="1" si="2"/>
        <v>8</v>
      </c>
      <c r="N32" t="str">
        <f t="shared" ca="1" si="3"/>
        <v>D</v>
      </c>
    </row>
    <row r="33" spans="13:14" x14ac:dyDescent="0.35">
      <c r="M33">
        <f t="shared" ca="1" si="2"/>
        <v>15</v>
      </c>
      <c r="N33" t="str">
        <f t="shared" ca="1" si="3"/>
        <v>D</v>
      </c>
    </row>
    <row r="34" spans="13:14" x14ac:dyDescent="0.35">
      <c r="M34">
        <f t="shared" ca="1" si="2"/>
        <v>22</v>
      </c>
      <c r="N34" t="str">
        <f t="shared" ca="1" si="3"/>
        <v>D</v>
      </c>
    </row>
    <row r="35" spans="13:14" x14ac:dyDescent="0.35">
      <c r="M35">
        <f t="shared" ca="1" si="2"/>
        <v>74</v>
      </c>
      <c r="N35" t="str">
        <f t="shared" ca="1" si="3"/>
        <v>B</v>
      </c>
    </row>
    <row r="36" spans="13:14" x14ac:dyDescent="0.35">
      <c r="M36">
        <f t="shared" ca="1" si="2"/>
        <v>46</v>
      </c>
      <c r="N36" t="str">
        <f t="shared" ca="1" si="3"/>
        <v>D</v>
      </c>
    </row>
    <row r="37" spans="13:14" x14ac:dyDescent="0.35">
      <c r="M37">
        <f t="shared" ca="1" si="2"/>
        <v>66</v>
      </c>
      <c r="N37" t="str">
        <f t="shared" ca="1" si="3"/>
        <v>C</v>
      </c>
    </row>
    <row r="38" spans="13:14" x14ac:dyDescent="0.35">
      <c r="M38">
        <f t="shared" ca="1" si="2"/>
        <v>58</v>
      </c>
      <c r="N38" t="str">
        <f t="shared" ca="1" si="3"/>
        <v>D</v>
      </c>
    </row>
    <row r="39" spans="13:14" x14ac:dyDescent="0.35">
      <c r="M39">
        <f t="shared" ca="1" si="2"/>
        <v>87</v>
      </c>
      <c r="N39" t="str">
        <f t="shared" ca="1" si="3"/>
        <v>A</v>
      </c>
    </row>
    <row r="40" spans="13:14" x14ac:dyDescent="0.35">
      <c r="M40">
        <f t="shared" ca="1" si="2"/>
        <v>71</v>
      </c>
      <c r="N40" t="str">
        <f t="shared" ca="1" si="3"/>
        <v>B</v>
      </c>
    </row>
    <row r="41" spans="13:14" x14ac:dyDescent="0.35">
      <c r="M41">
        <f t="shared" ca="1" si="2"/>
        <v>81</v>
      </c>
      <c r="N41" t="str">
        <f t="shared" ca="1" si="3"/>
        <v>A</v>
      </c>
    </row>
    <row r="42" spans="13:14" x14ac:dyDescent="0.35">
      <c r="M42">
        <f t="shared" ca="1" si="2"/>
        <v>89</v>
      </c>
      <c r="N42" t="str">
        <f t="shared" ca="1" si="3"/>
        <v>A</v>
      </c>
    </row>
    <row r="43" spans="13:14" x14ac:dyDescent="0.35">
      <c r="M43">
        <f t="shared" ca="1" si="2"/>
        <v>73</v>
      </c>
      <c r="N43" t="str">
        <f t="shared" ca="1" si="3"/>
        <v>B</v>
      </c>
    </row>
    <row r="44" spans="13:14" x14ac:dyDescent="0.35">
      <c r="M44">
        <f t="shared" ca="1" si="2"/>
        <v>14</v>
      </c>
      <c r="N44" t="str">
        <f t="shared" ca="1" si="3"/>
        <v>D</v>
      </c>
    </row>
    <row r="45" spans="13:14" x14ac:dyDescent="0.35">
      <c r="M45">
        <f t="shared" ca="1" si="2"/>
        <v>58</v>
      </c>
      <c r="N45" t="str">
        <f t="shared" ca="1" si="3"/>
        <v>D</v>
      </c>
    </row>
    <row r="46" spans="13:14" x14ac:dyDescent="0.35">
      <c r="M46">
        <f t="shared" ca="1" si="2"/>
        <v>53</v>
      </c>
      <c r="N46" t="str">
        <f t="shared" ca="1" si="3"/>
        <v>D</v>
      </c>
    </row>
    <row r="47" spans="13:14" x14ac:dyDescent="0.35">
      <c r="M47">
        <f t="shared" ca="1" si="2"/>
        <v>98</v>
      </c>
      <c r="N47" t="str">
        <f t="shared" ca="1" si="3"/>
        <v>A+</v>
      </c>
    </row>
    <row r="48" spans="13:14" x14ac:dyDescent="0.35">
      <c r="M48">
        <f t="shared" ca="1" si="2"/>
        <v>11</v>
      </c>
      <c r="N48" t="str">
        <f t="shared" ca="1" si="3"/>
        <v>D</v>
      </c>
    </row>
    <row r="49" spans="13:14" x14ac:dyDescent="0.35">
      <c r="M49">
        <f t="shared" ca="1" si="2"/>
        <v>45</v>
      </c>
      <c r="N49" t="str">
        <f t="shared" ca="1" si="3"/>
        <v>D</v>
      </c>
    </row>
    <row r="50" spans="13:14" x14ac:dyDescent="0.35">
      <c r="M50">
        <f t="shared" ca="1" si="2"/>
        <v>92</v>
      </c>
      <c r="N50" t="str">
        <f t="shared" ca="1" si="3"/>
        <v>A+</v>
      </c>
    </row>
    <row r="51" spans="13:14" x14ac:dyDescent="0.35">
      <c r="M51">
        <f t="shared" ca="1" si="2"/>
        <v>38</v>
      </c>
      <c r="N51" t="str">
        <f t="shared" ca="1" si="3"/>
        <v>D</v>
      </c>
    </row>
    <row r="52" spans="13:14" x14ac:dyDescent="0.35">
      <c r="M52">
        <f t="shared" ca="1" si="2"/>
        <v>89</v>
      </c>
      <c r="N52" t="str">
        <f t="shared" ca="1" si="3"/>
        <v>A</v>
      </c>
    </row>
    <row r="53" spans="13:14" x14ac:dyDescent="0.35">
      <c r="M53">
        <f t="shared" ca="1" si="2"/>
        <v>24</v>
      </c>
      <c r="N53" t="str">
        <f t="shared" ca="1" si="3"/>
        <v>D</v>
      </c>
    </row>
    <row r="54" spans="13:14" x14ac:dyDescent="0.35">
      <c r="M54">
        <f t="shared" ca="1" si="2"/>
        <v>51</v>
      </c>
      <c r="N54" t="str">
        <f t="shared" ca="1" si="3"/>
        <v>D</v>
      </c>
    </row>
    <row r="55" spans="13:14" x14ac:dyDescent="0.35">
      <c r="M55">
        <f t="shared" ca="1" si="2"/>
        <v>48</v>
      </c>
      <c r="N55" t="str">
        <f t="shared" ca="1" si="3"/>
        <v>D</v>
      </c>
    </row>
    <row r="56" spans="13:14" x14ac:dyDescent="0.35">
      <c r="M56">
        <f t="shared" ca="1" si="2"/>
        <v>41</v>
      </c>
      <c r="N56" t="str">
        <f t="shared" ca="1" si="3"/>
        <v>D</v>
      </c>
    </row>
    <row r="57" spans="13:14" x14ac:dyDescent="0.35">
      <c r="M57">
        <f t="shared" ca="1" si="2"/>
        <v>40</v>
      </c>
      <c r="N57" t="str">
        <f t="shared" ca="1" si="3"/>
        <v>D</v>
      </c>
    </row>
    <row r="58" spans="13:14" x14ac:dyDescent="0.35">
      <c r="M58">
        <f t="shared" ca="1" si="2"/>
        <v>41</v>
      </c>
      <c r="N58" t="str">
        <f t="shared" ca="1" si="3"/>
        <v>D</v>
      </c>
    </row>
    <row r="59" spans="13:14" x14ac:dyDescent="0.35">
      <c r="M59">
        <f t="shared" ca="1" si="2"/>
        <v>39</v>
      </c>
      <c r="N59" t="str">
        <f t="shared" ca="1" si="3"/>
        <v>D</v>
      </c>
    </row>
    <row r="60" spans="13:14" x14ac:dyDescent="0.35">
      <c r="M60">
        <f t="shared" ca="1" si="2"/>
        <v>86</v>
      </c>
      <c r="N60" t="str">
        <f t="shared" ca="1" si="3"/>
        <v>A</v>
      </c>
    </row>
    <row r="61" spans="13:14" x14ac:dyDescent="0.35">
      <c r="M61">
        <f t="shared" ca="1" si="2"/>
        <v>68</v>
      </c>
      <c r="N61" t="str">
        <f t="shared" ca="1" si="3"/>
        <v>C</v>
      </c>
    </row>
    <row r="62" spans="13:14" x14ac:dyDescent="0.35">
      <c r="M62">
        <f t="shared" ca="1" si="2"/>
        <v>1</v>
      </c>
      <c r="N62" t="str">
        <f t="shared" ca="1" si="3"/>
        <v>D</v>
      </c>
    </row>
    <row r="63" spans="13:14" x14ac:dyDescent="0.35">
      <c r="M63">
        <f t="shared" ca="1" si="2"/>
        <v>65</v>
      </c>
      <c r="N63" t="str">
        <f t="shared" ca="1" si="3"/>
        <v>C</v>
      </c>
    </row>
    <row r="64" spans="13:14" x14ac:dyDescent="0.35">
      <c r="M64">
        <f t="shared" ca="1" si="2"/>
        <v>28</v>
      </c>
      <c r="N64" t="str">
        <f t="shared" ca="1" si="3"/>
        <v>D</v>
      </c>
    </row>
    <row r="65" spans="13:14" x14ac:dyDescent="0.35">
      <c r="M65">
        <f t="shared" ca="1" si="2"/>
        <v>25</v>
      </c>
      <c r="N65" t="str">
        <f t="shared" ca="1" si="3"/>
        <v>D</v>
      </c>
    </row>
    <row r="66" spans="13:14" x14ac:dyDescent="0.35">
      <c r="M66">
        <f t="shared" ca="1" si="2"/>
        <v>56</v>
      </c>
      <c r="N66" t="str">
        <f t="shared" ca="1" si="3"/>
        <v>D</v>
      </c>
    </row>
    <row r="67" spans="13:14" x14ac:dyDescent="0.35">
      <c r="M67">
        <f t="shared" ca="1" si="2"/>
        <v>9</v>
      </c>
      <c r="N67" t="str">
        <f t="shared" ca="1" si="3"/>
        <v>D</v>
      </c>
    </row>
    <row r="68" spans="13:14" x14ac:dyDescent="0.35">
      <c r="M68">
        <f t="shared" ca="1" si="2"/>
        <v>47</v>
      </c>
      <c r="N68" t="str">
        <f t="shared" ca="1" si="3"/>
        <v>D</v>
      </c>
    </row>
    <row r="69" spans="13:14" x14ac:dyDescent="0.35">
      <c r="M69">
        <f t="shared" ca="1" si="2"/>
        <v>36</v>
      </c>
      <c r="N69" t="str">
        <f t="shared" ca="1" si="3"/>
        <v>D</v>
      </c>
    </row>
    <row r="70" spans="13:14" x14ac:dyDescent="0.35">
      <c r="M70">
        <f t="shared" ca="1" si="2"/>
        <v>40</v>
      </c>
      <c r="N70" t="str">
        <f t="shared" ca="1" si="3"/>
        <v>D</v>
      </c>
    </row>
    <row r="71" spans="13:14" x14ac:dyDescent="0.35">
      <c r="M71">
        <f t="shared" ca="1" si="2"/>
        <v>62</v>
      </c>
      <c r="N71" t="str">
        <f t="shared" ca="1" si="3"/>
        <v>C</v>
      </c>
    </row>
    <row r="72" spans="13:14" x14ac:dyDescent="0.35">
      <c r="M72">
        <f t="shared" ca="1" si="2"/>
        <v>0</v>
      </c>
      <c r="N72" t="str">
        <f t="shared" ca="1" si="3"/>
        <v>D</v>
      </c>
    </row>
    <row r="73" spans="13:14" x14ac:dyDescent="0.35">
      <c r="M73">
        <f t="shared" ca="1" si="2"/>
        <v>91</v>
      </c>
      <c r="N73" t="str">
        <f t="shared" ca="1" si="3"/>
        <v>A+</v>
      </c>
    </row>
    <row r="74" spans="13:14" x14ac:dyDescent="0.35">
      <c r="M74">
        <f t="shared" ca="1" si="2"/>
        <v>35</v>
      </c>
      <c r="N74" t="str">
        <f t="shared" ca="1" si="3"/>
        <v>D</v>
      </c>
    </row>
    <row r="75" spans="13:14" x14ac:dyDescent="0.35">
      <c r="M75">
        <f t="shared" ca="1" si="2"/>
        <v>22</v>
      </c>
      <c r="N75" t="str">
        <f t="shared" ca="1" si="3"/>
        <v>D</v>
      </c>
    </row>
    <row r="76" spans="13:14" x14ac:dyDescent="0.35">
      <c r="M76">
        <f t="shared" ca="1" si="2"/>
        <v>39</v>
      </c>
      <c r="N76" t="str">
        <f t="shared" ca="1" si="3"/>
        <v>D</v>
      </c>
    </row>
    <row r="77" spans="13:14" x14ac:dyDescent="0.35">
      <c r="M77">
        <f t="shared" ca="1" si="2"/>
        <v>46</v>
      </c>
      <c r="N77" t="str">
        <f t="shared" ca="1" si="3"/>
        <v>D</v>
      </c>
    </row>
    <row r="78" spans="13:14" x14ac:dyDescent="0.35">
      <c r="M78">
        <f t="shared" ca="1" si="2"/>
        <v>37</v>
      </c>
      <c r="N78" t="str">
        <f t="shared" ca="1" si="3"/>
        <v>D</v>
      </c>
    </row>
    <row r="79" spans="13:14" x14ac:dyDescent="0.35">
      <c r="M79">
        <f t="shared" ca="1" si="2"/>
        <v>59</v>
      </c>
      <c r="N79" t="str">
        <f t="shared" ca="1" si="3"/>
        <v>D</v>
      </c>
    </row>
    <row r="80" spans="13:14" x14ac:dyDescent="0.35">
      <c r="M80">
        <f t="shared" ca="1" si="2"/>
        <v>77</v>
      </c>
      <c r="N80" t="str">
        <f t="shared" ca="1" si="3"/>
        <v>B</v>
      </c>
    </row>
    <row r="81" spans="13:14" x14ac:dyDescent="0.35">
      <c r="M81">
        <f t="shared" ref="M81:M144" ca="1" si="4">RANDBETWEEN(0,100)</f>
        <v>13</v>
      </c>
      <c r="N81" t="str">
        <f t="shared" ref="N81:N144" ca="1" si="5">LOOKUP(M81,$K$4:$K$8,$L$4:$L$8)</f>
        <v>D</v>
      </c>
    </row>
    <row r="82" spans="13:14" x14ac:dyDescent="0.35">
      <c r="M82">
        <f t="shared" ca="1" si="4"/>
        <v>17</v>
      </c>
      <c r="N82" t="str">
        <f t="shared" ca="1" si="5"/>
        <v>D</v>
      </c>
    </row>
    <row r="83" spans="13:14" x14ac:dyDescent="0.35">
      <c r="M83">
        <f t="shared" ca="1" si="4"/>
        <v>89</v>
      </c>
      <c r="N83" t="str">
        <f t="shared" ca="1" si="5"/>
        <v>A</v>
      </c>
    </row>
    <row r="84" spans="13:14" x14ac:dyDescent="0.35">
      <c r="M84">
        <f t="shared" ca="1" si="4"/>
        <v>22</v>
      </c>
      <c r="N84" t="str">
        <f t="shared" ca="1" si="5"/>
        <v>D</v>
      </c>
    </row>
    <row r="85" spans="13:14" x14ac:dyDescent="0.35">
      <c r="M85">
        <f t="shared" ca="1" si="4"/>
        <v>59</v>
      </c>
      <c r="N85" t="str">
        <f t="shared" ca="1" si="5"/>
        <v>D</v>
      </c>
    </row>
    <row r="86" spans="13:14" x14ac:dyDescent="0.35">
      <c r="M86">
        <f t="shared" ca="1" si="4"/>
        <v>60</v>
      </c>
      <c r="N86" t="str">
        <f t="shared" ca="1" si="5"/>
        <v>C</v>
      </c>
    </row>
    <row r="87" spans="13:14" x14ac:dyDescent="0.35">
      <c r="M87">
        <f t="shared" ca="1" si="4"/>
        <v>3</v>
      </c>
      <c r="N87" t="str">
        <f t="shared" ca="1" si="5"/>
        <v>D</v>
      </c>
    </row>
    <row r="88" spans="13:14" x14ac:dyDescent="0.35">
      <c r="M88">
        <f t="shared" ca="1" si="4"/>
        <v>23</v>
      </c>
      <c r="N88" t="str">
        <f t="shared" ca="1" si="5"/>
        <v>D</v>
      </c>
    </row>
    <row r="89" spans="13:14" x14ac:dyDescent="0.35">
      <c r="M89">
        <f t="shared" ca="1" si="4"/>
        <v>76</v>
      </c>
      <c r="N89" t="str">
        <f t="shared" ca="1" si="5"/>
        <v>B</v>
      </c>
    </row>
    <row r="90" spans="13:14" x14ac:dyDescent="0.35">
      <c r="M90">
        <f t="shared" ca="1" si="4"/>
        <v>80</v>
      </c>
      <c r="N90" t="str">
        <f t="shared" ca="1" si="5"/>
        <v>A</v>
      </c>
    </row>
    <row r="91" spans="13:14" x14ac:dyDescent="0.35">
      <c r="M91">
        <f t="shared" ca="1" si="4"/>
        <v>41</v>
      </c>
      <c r="N91" t="str">
        <f t="shared" ca="1" si="5"/>
        <v>D</v>
      </c>
    </row>
    <row r="92" spans="13:14" x14ac:dyDescent="0.35">
      <c r="M92">
        <f t="shared" ca="1" si="4"/>
        <v>99</v>
      </c>
      <c r="N92" t="str">
        <f t="shared" ca="1" si="5"/>
        <v>A+</v>
      </c>
    </row>
    <row r="93" spans="13:14" x14ac:dyDescent="0.35">
      <c r="M93">
        <f t="shared" ca="1" si="4"/>
        <v>54</v>
      </c>
      <c r="N93" t="str">
        <f t="shared" ca="1" si="5"/>
        <v>D</v>
      </c>
    </row>
    <row r="94" spans="13:14" x14ac:dyDescent="0.35">
      <c r="M94">
        <f t="shared" ca="1" si="4"/>
        <v>41</v>
      </c>
      <c r="N94" t="str">
        <f t="shared" ca="1" si="5"/>
        <v>D</v>
      </c>
    </row>
    <row r="95" spans="13:14" x14ac:dyDescent="0.35">
      <c r="M95">
        <f t="shared" ca="1" si="4"/>
        <v>23</v>
      </c>
      <c r="N95" t="str">
        <f t="shared" ca="1" si="5"/>
        <v>D</v>
      </c>
    </row>
    <row r="96" spans="13:14" x14ac:dyDescent="0.35">
      <c r="M96">
        <f t="shared" ca="1" si="4"/>
        <v>93</v>
      </c>
      <c r="N96" t="str">
        <f t="shared" ca="1" si="5"/>
        <v>A+</v>
      </c>
    </row>
    <row r="97" spans="13:14" x14ac:dyDescent="0.35">
      <c r="M97">
        <f t="shared" ca="1" si="4"/>
        <v>38</v>
      </c>
      <c r="N97" t="str">
        <f t="shared" ca="1" si="5"/>
        <v>D</v>
      </c>
    </row>
    <row r="98" spans="13:14" x14ac:dyDescent="0.35">
      <c r="M98">
        <f t="shared" ca="1" si="4"/>
        <v>31</v>
      </c>
      <c r="N98" t="str">
        <f t="shared" ca="1" si="5"/>
        <v>D</v>
      </c>
    </row>
    <row r="99" spans="13:14" x14ac:dyDescent="0.35">
      <c r="M99">
        <f t="shared" ca="1" si="4"/>
        <v>12</v>
      </c>
      <c r="N99" t="str">
        <f t="shared" ca="1" si="5"/>
        <v>D</v>
      </c>
    </row>
    <row r="100" spans="13:14" x14ac:dyDescent="0.35">
      <c r="M100">
        <f t="shared" ca="1" si="4"/>
        <v>22</v>
      </c>
      <c r="N100" t="str">
        <f t="shared" ca="1" si="5"/>
        <v>D</v>
      </c>
    </row>
    <row r="101" spans="13:14" x14ac:dyDescent="0.35">
      <c r="M101">
        <f t="shared" ca="1" si="4"/>
        <v>88</v>
      </c>
      <c r="N101" t="str">
        <f t="shared" ca="1" si="5"/>
        <v>A</v>
      </c>
    </row>
    <row r="102" spans="13:14" x14ac:dyDescent="0.35">
      <c r="M102">
        <f t="shared" ca="1" si="4"/>
        <v>65</v>
      </c>
      <c r="N102" t="str">
        <f t="shared" ca="1" si="5"/>
        <v>C</v>
      </c>
    </row>
    <row r="103" spans="13:14" x14ac:dyDescent="0.35">
      <c r="M103">
        <f t="shared" ca="1" si="4"/>
        <v>90</v>
      </c>
      <c r="N103" t="str">
        <f t="shared" ca="1" si="5"/>
        <v>A+</v>
      </c>
    </row>
    <row r="104" spans="13:14" x14ac:dyDescent="0.35">
      <c r="M104">
        <f t="shared" ca="1" si="4"/>
        <v>32</v>
      </c>
      <c r="N104" t="str">
        <f t="shared" ca="1" si="5"/>
        <v>D</v>
      </c>
    </row>
    <row r="105" spans="13:14" x14ac:dyDescent="0.35">
      <c r="M105">
        <f t="shared" ca="1" si="4"/>
        <v>68</v>
      </c>
      <c r="N105" t="str">
        <f t="shared" ca="1" si="5"/>
        <v>C</v>
      </c>
    </row>
    <row r="106" spans="13:14" x14ac:dyDescent="0.35">
      <c r="M106">
        <f t="shared" ca="1" si="4"/>
        <v>85</v>
      </c>
      <c r="N106" t="str">
        <f t="shared" ca="1" si="5"/>
        <v>A</v>
      </c>
    </row>
    <row r="107" spans="13:14" x14ac:dyDescent="0.35">
      <c r="M107">
        <f t="shared" ca="1" si="4"/>
        <v>3</v>
      </c>
      <c r="N107" t="str">
        <f t="shared" ca="1" si="5"/>
        <v>D</v>
      </c>
    </row>
    <row r="108" spans="13:14" x14ac:dyDescent="0.35">
      <c r="M108">
        <f t="shared" ca="1" si="4"/>
        <v>22</v>
      </c>
      <c r="N108" t="str">
        <f t="shared" ca="1" si="5"/>
        <v>D</v>
      </c>
    </row>
    <row r="109" spans="13:14" x14ac:dyDescent="0.35">
      <c r="M109">
        <f t="shared" ca="1" si="4"/>
        <v>93</v>
      </c>
      <c r="N109" t="str">
        <f t="shared" ca="1" si="5"/>
        <v>A+</v>
      </c>
    </row>
    <row r="110" spans="13:14" x14ac:dyDescent="0.35">
      <c r="M110">
        <f t="shared" ca="1" si="4"/>
        <v>12</v>
      </c>
      <c r="N110" t="str">
        <f t="shared" ca="1" si="5"/>
        <v>D</v>
      </c>
    </row>
    <row r="111" spans="13:14" x14ac:dyDescent="0.35">
      <c r="M111">
        <f t="shared" ca="1" si="4"/>
        <v>49</v>
      </c>
      <c r="N111" t="str">
        <f t="shared" ca="1" si="5"/>
        <v>D</v>
      </c>
    </row>
    <row r="112" spans="13:14" x14ac:dyDescent="0.35">
      <c r="M112">
        <f t="shared" ca="1" si="4"/>
        <v>76</v>
      </c>
      <c r="N112" t="str">
        <f t="shared" ca="1" si="5"/>
        <v>B</v>
      </c>
    </row>
    <row r="113" spans="13:14" x14ac:dyDescent="0.35">
      <c r="M113">
        <f t="shared" ca="1" si="4"/>
        <v>62</v>
      </c>
      <c r="N113" t="str">
        <f t="shared" ca="1" si="5"/>
        <v>C</v>
      </c>
    </row>
    <row r="114" spans="13:14" x14ac:dyDescent="0.35">
      <c r="M114">
        <f t="shared" ca="1" si="4"/>
        <v>65</v>
      </c>
      <c r="N114" t="str">
        <f t="shared" ca="1" si="5"/>
        <v>C</v>
      </c>
    </row>
    <row r="115" spans="13:14" x14ac:dyDescent="0.35">
      <c r="M115">
        <f t="shared" ca="1" si="4"/>
        <v>4</v>
      </c>
      <c r="N115" t="str">
        <f t="shared" ca="1" si="5"/>
        <v>D</v>
      </c>
    </row>
    <row r="116" spans="13:14" x14ac:dyDescent="0.35">
      <c r="M116">
        <f t="shared" ca="1" si="4"/>
        <v>53</v>
      </c>
      <c r="N116" t="str">
        <f t="shared" ca="1" si="5"/>
        <v>D</v>
      </c>
    </row>
    <row r="117" spans="13:14" x14ac:dyDescent="0.35">
      <c r="M117">
        <f t="shared" ca="1" si="4"/>
        <v>11</v>
      </c>
      <c r="N117" t="str">
        <f t="shared" ca="1" si="5"/>
        <v>D</v>
      </c>
    </row>
    <row r="118" spans="13:14" x14ac:dyDescent="0.35">
      <c r="M118">
        <f t="shared" ca="1" si="4"/>
        <v>13</v>
      </c>
      <c r="N118" t="str">
        <f t="shared" ca="1" si="5"/>
        <v>D</v>
      </c>
    </row>
    <row r="119" spans="13:14" x14ac:dyDescent="0.35">
      <c r="M119">
        <f t="shared" ca="1" si="4"/>
        <v>45</v>
      </c>
      <c r="N119" t="str">
        <f t="shared" ca="1" si="5"/>
        <v>D</v>
      </c>
    </row>
    <row r="120" spans="13:14" x14ac:dyDescent="0.35">
      <c r="M120">
        <f t="shared" ca="1" si="4"/>
        <v>10</v>
      </c>
      <c r="N120" t="str">
        <f t="shared" ca="1" si="5"/>
        <v>D</v>
      </c>
    </row>
    <row r="121" spans="13:14" x14ac:dyDescent="0.35">
      <c r="M121">
        <f t="shared" ca="1" si="4"/>
        <v>15</v>
      </c>
      <c r="N121" t="str">
        <f t="shared" ca="1" si="5"/>
        <v>D</v>
      </c>
    </row>
    <row r="122" spans="13:14" x14ac:dyDescent="0.35">
      <c r="M122">
        <f t="shared" ca="1" si="4"/>
        <v>37</v>
      </c>
      <c r="N122" t="str">
        <f t="shared" ca="1" si="5"/>
        <v>D</v>
      </c>
    </row>
    <row r="123" spans="13:14" x14ac:dyDescent="0.35">
      <c r="M123">
        <f t="shared" ca="1" si="4"/>
        <v>96</v>
      </c>
      <c r="N123" t="str">
        <f t="shared" ca="1" si="5"/>
        <v>A+</v>
      </c>
    </row>
    <row r="124" spans="13:14" x14ac:dyDescent="0.35">
      <c r="M124">
        <f t="shared" ca="1" si="4"/>
        <v>79</v>
      </c>
      <c r="N124" t="str">
        <f t="shared" ca="1" si="5"/>
        <v>B</v>
      </c>
    </row>
    <row r="125" spans="13:14" x14ac:dyDescent="0.35">
      <c r="M125">
        <f t="shared" ca="1" si="4"/>
        <v>85</v>
      </c>
      <c r="N125" t="str">
        <f t="shared" ca="1" si="5"/>
        <v>A</v>
      </c>
    </row>
    <row r="126" spans="13:14" x14ac:dyDescent="0.35">
      <c r="M126">
        <f t="shared" ca="1" si="4"/>
        <v>80</v>
      </c>
      <c r="N126" t="str">
        <f t="shared" ca="1" si="5"/>
        <v>A</v>
      </c>
    </row>
    <row r="127" spans="13:14" x14ac:dyDescent="0.35">
      <c r="M127">
        <f t="shared" ca="1" si="4"/>
        <v>29</v>
      </c>
      <c r="N127" t="str">
        <f t="shared" ca="1" si="5"/>
        <v>D</v>
      </c>
    </row>
    <row r="128" spans="13:14" x14ac:dyDescent="0.35">
      <c r="M128">
        <f t="shared" ca="1" si="4"/>
        <v>12</v>
      </c>
      <c r="N128" t="str">
        <f t="shared" ca="1" si="5"/>
        <v>D</v>
      </c>
    </row>
    <row r="129" spans="13:14" x14ac:dyDescent="0.35">
      <c r="M129">
        <f t="shared" ca="1" si="4"/>
        <v>25</v>
      </c>
      <c r="N129" t="str">
        <f t="shared" ca="1" si="5"/>
        <v>D</v>
      </c>
    </row>
    <row r="130" spans="13:14" x14ac:dyDescent="0.35">
      <c r="M130">
        <f t="shared" ca="1" si="4"/>
        <v>67</v>
      </c>
      <c r="N130" t="str">
        <f t="shared" ca="1" si="5"/>
        <v>C</v>
      </c>
    </row>
    <row r="131" spans="13:14" x14ac:dyDescent="0.35">
      <c r="M131">
        <f t="shared" ca="1" si="4"/>
        <v>49</v>
      </c>
      <c r="N131" t="str">
        <f t="shared" ca="1" si="5"/>
        <v>D</v>
      </c>
    </row>
    <row r="132" spans="13:14" x14ac:dyDescent="0.35">
      <c r="M132">
        <f t="shared" ca="1" si="4"/>
        <v>41</v>
      </c>
      <c r="N132" t="str">
        <f t="shared" ca="1" si="5"/>
        <v>D</v>
      </c>
    </row>
    <row r="133" spans="13:14" x14ac:dyDescent="0.35">
      <c r="M133">
        <f t="shared" ca="1" si="4"/>
        <v>43</v>
      </c>
      <c r="N133" t="str">
        <f t="shared" ca="1" si="5"/>
        <v>D</v>
      </c>
    </row>
    <row r="134" spans="13:14" x14ac:dyDescent="0.35">
      <c r="M134">
        <f t="shared" ca="1" si="4"/>
        <v>71</v>
      </c>
      <c r="N134" t="str">
        <f t="shared" ca="1" si="5"/>
        <v>B</v>
      </c>
    </row>
    <row r="135" spans="13:14" x14ac:dyDescent="0.35">
      <c r="M135">
        <f t="shared" ca="1" si="4"/>
        <v>35</v>
      </c>
      <c r="N135" t="str">
        <f t="shared" ca="1" si="5"/>
        <v>D</v>
      </c>
    </row>
    <row r="136" spans="13:14" x14ac:dyDescent="0.35">
      <c r="M136">
        <f t="shared" ca="1" si="4"/>
        <v>32</v>
      </c>
      <c r="N136" t="str">
        <f t="shared" ca="1" si="5"/>
        <v>D</v>
      </c>
    </row>
    <row r="137" spans="13:14" x14ac:dyDescent="0.35">
      <c r="M137">
        <f t="shared" ca="1" si="4"/>
        <v>89</v>
      </c>
      <c r="N137" t="str">
        <f t="shared" ca="1" si="5"/>
        <v>A</v>
      </c>
    </row>
    <row r="138" spans="13:14" x14ac:dyDescent="0.35">
      <c r="M138">
        <f t="shared" ca="1" si="4"/>
        <v>10</v>
      </c>
      <c r="N138" t="str">
        <f t="shared" ca="1" si="5"/>
        <v>D</v>
      </c>
    </row>
    <row r="139" spans="13:14" x14ac:dyDescent="0.35">
      <c r="M139">
        <f t="shared" ca="1" si="4"/>
        <v>100</v>
      </c>
      <c r="N139" t="str">
        <f t="shared" ca="1" si="5"/>
        <v>A+</v>
      </c>
    </row>
    <row r="140" spans="13:14" x14ac:dyDescent="0.35">
      <c r="M140">
        <f t="shared" ca="1" si="4"/>
        <v>10</v>
      </c>
      <c r="N140" t="str">
        <f t="shared" ca="1" si="5"/>
        <v>D</v>
      </c>
    </row>
    <row r="141" spans="13:14" x14ac:dyDescent="0.35">
      <c r="M141">
        <f t="shared" ca="1" si="4"/>
        <v>40</v>
      </c>
      <c r="N141" t="str">
        <f t="shared" ca="1" si="5"/>
        <v>D</v>
      </c>
    </row>
    <row r="142" spans="13:14" x14ac:dyDescent="0.35">
      <c r="M142">
        <f t="shared" ca="1" si="4"/>
        <v>36</v>
      </c>
      <c r="N142" t="str">
        <f t="shared" ca="1" si="5"/>
        <v>D</v>
      </c>
    </row>
    <row r="143" spans="13:14" x14ac:dyDescent="0.35">
      <c r="M143">
        <f t="shared" ca="1" si="4"/>
        <v>62</v>
      </c>
      <c r="N143" t="str">
        <f t="shared" ca="1" si="5"/>
        <v>C</v>
      </c>
    </row>
    <row r="144" spans="13:14" x14ac:dyDescent="0.35">
      <c r="M144">
        <f t="shared" ca="1" si="4"/>
        <v>8</v>
      </c>
      <c r="N144" t="str">
        <f t="shared" ca="1" si="5"/>
        <v>D</v>
      </c>
    </row>
    <row r="145" spans="13:14" x14ac:dyDescent="0.35">
      <c r="M145">
        <f t="shared" ref="M145:M194" ca="1" si="6">RANDBETWEEN(0,100)</f>
        <v>72</v>
      </c>
      <c r="N145" t="str">
        <f t="shared" ref="N145:N194" ca="1" si="7">LOOKUP(M145,$K$4:$K$8,$L$4:$L$8)</f>
        <v>B</v>
      </c>
    </row>
    <row r="146" spans="13:14" x14ac:dyDescent="0.35">
      <c r="M146">
        <f t="shared" ca="1" si="6"/>
        <v>49</v>
      </c>
      <c r="N146" t="str">
        <f t="shared" ca="1" si="7"/>
        <v>D</v>
      </c>
    </row>
    <row r="147" spans="13:14" x14ac:dyDescent="0.35">
      <c r="M147">
        <f t="shared" ca="1" si="6"/>
        <v>36</v>
      </c>
      <c r="N147" t="str">
        <f t="shared" ca="1" si="7"/>
        <v>D</v>
      </c>
    </row>
    <row r="148" spans="13:14" x14ac:dyDescent="0.35">
      <c r="M148">
        <f t="shared" ca="1" si="6"/>
        <v>48</v>
      </c>
      <c r="N148" t="str">
        <f t="shared" ca="1" si="7"/>
        <v>D</v>
      </c>
    </row>
    <row r="149" spans="13:14" x14ac:dyDescent="0.35">
      <c r="M149">
        <f t="shared" ca="1" si="6"/>
        <v>10</v>
      </c>
      <c r="N149" t="str">
        <f t="shared" ca="1" si="7"/>
        <v>D</v>
      </c>
    </row>
    <row r="150" spans="13:14" x14ac:dyDescent="0.35">
      <c r="M150">
        <f t="shared" ca="1" si="6"/>
        <v>95</v>
      </c>
      <c r="N150" t="str">
        <f t="shared" ca="1" si="7"/>
        <v>A+</v>
      </c>
    </row>
    <row r="151" spans="13:14" x14ac:dyDescent="0.35">
      <c r="M151">
        <f t="shared" ca="1" si="6"/>
        <v>15</v>
      </c>
      <c r="N151" t="str">
        <f t="shared" ca="1" si="7"/>
        <v>D</v>
      </c>
    </row>
    <row r="152" spans="13:14" x14ac:dyDescent="0.35">
      <c r="M152">
        <f t="shared" ca="1" si="6"/>
        <v>15</v>
      </c>
      <c r="N152" t="str">
        <f t="shared" ca="1" si="7"/>
        <v>D</v>
      </c>
    </row>
    <row r="153" spans="13:14" x14ac:dyDescent="0.35">
      <c r="M153">
        <f t="shared" ca="1" si="6"/>
        <v>15</v>
      </c>
      <c r="N153" t="str">
        <f t="shared" ca="1" si="7"/>
        <v>D</v>
      </c>
    </row>
    <row r="154" spans="13:14" x14ac:dyDescent="0.35">
      <c r="M154">
        <f t="shared" ca="1" si="6"/>
        <v>95</v>
      </c>
      <c r="N154" t="str">
        <f t="shared" ca="1" si="7"/>
        <v>A+</v>
      </c>
    </row>
    <row r="155" spans="13:14" x14ac:dyDescent="0.35">
      <c r="M155">
        <f t="shared" ca="1" si="6"/>
        <v>6</v>
      </c>
      <c r="N155" t="str">
        <f t="shared" ca="1" si="7"/>
        <v>D</v>
      </c>
    </row>
    <row r="156" spans="13:14" x14ac:dyDescent="0.35">
      <c r="M156">
        <f t="shared" ca="1" si="6"/>
        <v>94</v>
      </c>
      <c r="N156" t="str">
        <f t="shared" ca="1" si="7"/>
        <v>A+</v>
      </c>
    </row>
    <row r="157" spans="13:14" x14ac:dyDescent="0.35">
      <c r="M157">
        <f t="shared" ca="1" si="6"/>
        <v>21</v>
      </c>
      <c r="N157" t="str">
        <f t="shared" ca="1" si="7"/>
        <v>D</v>
      </c>
    </row>
    <row r="158" spans="13:14" x14ac:dyDescent="0.35">
      <c r="M158">
        <f t="shared" ca="1" si="6"/>
        <v>43</v>
      </c>
      <c r="N158" t="str">
        <f t="shared" ca="1" si="7"/>
        <v>D</v>
      </c>
    </row>
    <row r="159" spans="13:14" x14ac:dyDescent="0.35">
      <c r="M159">
        <f t="shared" ca="1" si="6"/>
        <v>38</v>
      </c>
      <c r="N159" t="str">
        <f t="shared" ca="1" si="7"/>
        <v>D</v>
      </c>
    </row>
    <row r="160" spans="13:14" x14ac:dyDescent="0.35">
      <c r="M160">
        <f t="shared" ca="1" si="6"/>
        <v>86</v>
      </c>
      <c r="N160" t="str">
        <f t="shared" ca="1" si="7"/>
        <v>A</v>
      </c>
    </row>
    <row r="161" spans="13:14" x14ac:dyDescent="0.35">
      <c r="M161">
        <f t="shared" ca="1" si="6"/>
        <v>90</v>
      </c>
      <c r="N161" t="str">
        <f t="shared" ca="1" si="7"/>
        <v>A+</v>
      </c>
    </row>
    <row r="162" spans="13:14" x14ac:dyDescent="0.35">
      <c r="M162">
        <f t="shared" ca="1" si="6"/>
        <v>46</v>
      </c>
      <c r="N162" t="str">
        <f t="shared" ca="1" si="7"/>
        <v>D</v>
      </c>
    </row>
    <row r="163" spans="13:14" x14ac:dyDescent="0.35">
      <c r="M163">
        <f t="shared" ca="1" si="6"/>
        <v>77</v>
      </c>
      <c r="N163" t="str">
        <f t="shared" ca="1" si="7"/>
        <v>B</v>
      </c>
    </row>
    <row r="164" spans="13:14" x14ac:dyDescent="0.35">
      <c r="M164">
        <f t="shared" ca="1" si="6"/>
        <v>90</v>
      </c>
      <c r="N164" t="str">
        <f t="shared" ca="1" si="7"/>
        <v>A+</v>
      </c>
    </row>
    <row r="165" spans="13:14" x14ac:dyDescent="0.35">
      <c r="M165">
        <f t="shared" ca="1" si="6"/>
        <v>96</v>
      </c>
      <c r="N165" t="str">
        <f t="shared" ca="1" si="7"/>
        <v>A+</v>
      </c>
    </row>
    <row r="166" spans="13:14" x14ac:dyDescent="0.35">
      <c r="M166">
        <f t="shared" ca="1" si="6"/>
        <v>99</v>
      </c>
      <c r="N166" t="str">
        <f t="shared" ca="1" si="7"/>
        <v>A+</v>
      </c>
    </row>
    <row r="167" spans="13:14" x14ac:dyDescent="0.35">
      <c r="M167">
        <f t="shared" ca="1" si="6"/>
        <v>74</v>
      </c>
      <c r="N167" t="str">
        <f t="shared" ca="1" si="7"/>
        <v>B</v>
      </c>
    </row>
    <row r="168" spans="13:14" x14ac:dyDescent="0.35">
      <c r="M168">
        <f t="shared" ca="1" si="6"/>
        <v>47</v>
      </c>
      <c r="N168" t="str">
        <f t="shared" ca="1" si="7"/>
        <v>D</v>
      </c>
    </row>
    <row r="169" spans="13:14" x14ac:dyDescent="0.35">
      <c r="M169">
        <f t="shared" ca="1" si="6"/>
        <v>91</v>
      </c>
      <c r="N169" t="str">
        <f t="shared" ca="1" si="7"/>
        <v>A+</v>
      </c>
    </row>
    <row r="170" spans="13:14" x14ac:dyDescent="0.35">
      <c r="M170">
        <f t="shared" ca="1" si="6"/>
        <v>54</v>
      </c>
      <c r="N170" t="str">
        <f t="shared" ca="1" si="7"/>
        <v>D</v>
      </c>
    </row>
    <row r="171" spans="13:14" x14ac:dyDescent="0.35">
      <c r="M171">
        <f t="shared" ca="1" si="6"/>
        <v>44</v>
      </c>
      <c r="N171" t="str">
        <f t="shared" ca="1" si="7"/>
        <v>D</v>
      </c>
    </row>
    <row r="172" spans="13:14" x14ac:dyDescent="0.35">
      <c r="M172">
        <f t="shared" ca="1" si="6"/>
        <v>33</v>
      </c>
      <c r="N172" t="str">
        <f t="shared" ca="1" si="7"/>
        <v>D</v>
      </c>
    </row>
    <row r="173" spans="13:14" x14ac:dyDescent="0.35">
      <c r="M173">
        <f t="shared" ca="1" si="6"/>
        <v>47</v>
      </c>
      <c r="N173" t="str">
        <f t="shared" ca="1" si="7"/>
        <v>D</v>
      </c>
    </row>
    <row r="174" spans="13:14" x14ac:dyDescent="0.35">
      <c r="M174">
        <f t="shared" ca="1" si="6"/>
        <v>76</v>
      </c>
      <c r="N174" t="str">
        <f t="shared" ca="1" si="7"/>
        <v>B</v>
      </c>
    </row>
    <row r="175" spans="13:14" x14ac:dyDescent="0.35">
      <c r="M175">
        <f t="shared" ca="1" si="6"/>
        <v>32</v>
      </c>
      <c r="N175" t="str">
        <f t="shared" ca="1" si="7"/>
        <v>D</v>
      </c>
    </row>
    <row r="176" spans="13:14" x14ac:dyDescent="0.35">
      <c r="M176">
        <f t="shared" ca="1" si="6"/>
        <v>81</v>
      </c>
      <c r="N176" t="str">
        <f t="shared" ca="1" si="7"/>
        <v>A</v>
      </c>
    </row>
    <row r="177" spans="13:14" x14ac:dyDescent="0.35">
      <c r="M177">
        <f t="shared" ca="1" si="6"/>
        <v>77</v>
      </c>
      <c r="N177" t="str">
        <f t="shared" ca="1" si="7"/>
        <v>B</v>
      </c>
    </row>
    <row r="178" spans="13:14" x14ac:dyDescent="0.35">
      <c r="M178">
        <f t="shared" ca="1" si="6"/>
        <v>39</v>
      </c>
      <c r="N178" t="str">
        <f t="shared" ca="1" si="7"/>
        <v>D</v>
      </c>
    </row>
    <row r="179" spans="13:14" x14ac:dyDescent="0.35">
      <c r="M179">
        <f t="shared" ca="1" si="6"/>
        <v>99</v>
      </c>
      <c r="N179" t="str">
        <f t="shared" ca="1" si="7"/>
        <v>A+</v>
      </c>
    </row>
    <row r="180" spans="13:14" x14ac:dyDescent="0.35">
      <c r="M180">
        <f t="shared" ca="1" si="6"/>
        <v>82</v>
      </c>
      <c r="N180" t="str">
        <f t="shared" ca="1" si="7"/>
        <v>A</v>
      </c>
    </row>
    <row r="181" spans="13:14" x14ac:dyDescent="0.35">
      <c r="M181">
        <f t="shared" ca="1" si="6"/>
        <v>69</v>
      </c>
      <c r="N181" t="str">
        <f t="shared" ca="1" si="7"/>
        <v>C</v>
      </c>
    </row>
    <row r="182" spans="13:14" x14ac:dyDescent="0.35">
      <c r="M182">
        <f t="shared" ca="1" si="6"/>
        <v>59</v>
      </c>
      <c r="N182" t="str">
        <f t="shared" ca="1" si="7"/>
        <v>D</v>
      </c>
    </row>
    <row r="183" spans="13:14" x14ac:dyDescent="0.35">
      <c r="M183">
        <f t="shared" ca="1" si="6"/>
        <v>39</v>
      </c>
      <c r="N183" t="str">
        <f t="shared" ca="1" si="7"/>
        <v>D</v>
      </c>
    </row>
    <row r="184" spans="13:14" x14ac:dyDescent="0.35">
      <c r="M184">
        <f t="shared" ca="1" si="6"/>
        <v>40</v>
      </c>
      <c r="N184" t="str">
        <f t="shared" ca="1" si="7"/>
        <v>D</v>
      </c>
    </row>
    <row r="185" spans="13:14" x14ac:dyDescent="0.35">
      <c r="M185">
        <f t="shared" ca="1" si="6"/>
        <v>79</v>
      </c>
      <c r="N185" t="str">
        <f t="shared" ca="1" si="7"/>
        <v>B</v>
      </c>
    </row>
    <row r="186" spans="13:14" x14ac:dyDescent="0.35">
      <c r="M186">
        <f t="shared" ca="1" si="6"/>
        <v>100</v>
      </c>
      <c r="N186" t="str">
        <f t="shared" ca="1" si="7"/>
        <v>A+</v>
      </c>
    </row>
    <row r="187" spans="13:14" x14ac:dyDescent="0.35">
      <c r="M187">
        <f t="shared" ca="1" si="6"/>
        <v>59</v>
      </c>
      <c r="N187" t="str">
        <f t="shared" ca="1" si="7"/>
        <v>D</v>
      </c>
    </row>
    <row r="188" spans="13:14" x14ac:dyDescent="0.35">
      <c r="M188">
        <f t="shared" ca="1" si="6"/>
        <v>81</v>
      </c>
      <c r="N188" t="str">
        <f t="shared" ca="1" si="7"/>
        <v>A</v>
      </c>
    </row>
    <row r="189" spans="13:14" x14ac:dyDescent="0.35">
      <c r="M189">
        <f t="shared" ca="1" si="6"/>
        <v>92</v>
      </c>
      <c r="N189" t="str">
        <f t="shared" ca="1" si="7"/>
        <v>A+</v>
      </c>
    </row>
    <row r="190" spans="13:14" x14ac:dyDescent="0.35">
      <c r="M190">
        <f t="shared" ca="1" si="6"/>
        <v>23</v>
      </c>
      <c r="N190" t="str">
        <f t="shared" ca="1" si="7"/>
        <v>D</v>
      </c>
    </row>
    <row r="191" spans="13:14" x14ac:dyDescent="0.35">
      <c r="M191">
        <f t="shared" ca="1" si="6"/>
        <v>27</v>
      </c>
      <c r="N191" t="str">
        <f t="shared" ca="1" si="7"/>
        <v>D</v>
      </c>
    </row>
    <row r="192" spans="13:14" x14ac:dyDescent="0.35">
      <c r="M192">
        <f t="shared" ca="1" si="6"/>
        <v>95</v>
      </c>
      <c r="N192" t="str">
        <f t="shared" ca="1" si="7"/>
        <v>A+</v>
      </c>
    </row>
    <row r="193" spans="13:14" x14ac:dyDescent="0.35">
      <c r="M193">
        <f t="shared" ca="1" si="6"/>
        <v>35</v>
      </c>
      <c r="N193" t="str">
        <f t="shared" ca="1" si="7"/>
        <v>D</v>
      </c>
    </row>
    <row r="194" spans="13:14" x14ac:dyDescent="0.35">
      <c r="M194">
        <f t="shared" ca="1" si="6"/>
        <v>55</v>
      </c>
      <c r="N194" t="str">
        <f t="shared" ca="1" si="7"/>
        <v>D</v>
      </c>
    </row>
  </sheetData>
  <mergeCells count="1">
    <mergeCell ref="K2:P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BA3B2-EDB7-4599-899A-6648713CE6A5}">
  <dimension ref="A1:L104"/>
  <sheetViews>
    <sheetView topLeftCell="B25" workbookViewId="0">
      <selection activeCell="L40" sqref="L40"/>
    </sheetView>
  </sheetViews>
  <sheetFormatPr defaultRowHeight="14.5" x14ac:dyDescent="0.35"/>
  <cols>
    <col min="1" max="1" width="15.81640625" bestFit="1" customWidth="1"/>
    <col min="2" max="2" width="24.54296875" bestFit="1" customWidth="1"/>
    <col min="3" max="3" width="15.90625" bestFit="1" customWidth="1"/>
    <col min="4" max="4" width="22.08984375" bestFit="1" customWidth="1"/>
    <col min="5" max="5" width="14.26953125" customWidth="1"/>
    <col min="6" max="6" width="9.1796875" bestFit="1" customWidth="1"/>
    <col min="7" max="7" width="10.26953125" customWidth="1"/>
    <col min="8" max="8" width="10.08984375" bestFit="1" customWidth="1"/>
    <col min="9" max="9" width="10.54296875" customWidth="1"/>
    <col min="10" max="10" width="14.26953125" customWidth="1"/>
    <col min="12" max="12" width="13.453125" bestFit="1" customWidth="1"/>
  </cols>
  <sheetData>
    <row r="1" spans="1:12" x14ac:dyDescent="0.35">
      <c r="A1" s="6" t="s">
        <v>295</v>
      </c>
      <c r="B1" s="6"/>
      <c r="C1" s="6"/>
      <c r="D1" s="6"/>
    </row>
    <row r="3" spans="1:12" x14ac:dyDescent="0.35">
      <c r="A3" s="3"/>
      <c r="B3" s="3"/>
      <c r="C3" s="3"/>
      <c r="D3" s="3"/>
      <c r="E3" s="3"/>
      <c r="F3" s="3"/>
      <c r="G3" s="3"/>
      <c r="H3" s="3"/>
    </row>
    <row r="4" spans="1:12" x14ac:dyDescent="0.35">
      <c r="A4" s="4"/>
      <c r="B4" s="4"/>
      <c r="C4" s="4"/>
      <c r="D4" s="4"/>
      <c r="E4" s="4"/>
      <c r="F4" s="4"/>
      <c r="G4" s="4"/>
      <c r="H4" s="5"/>
    </row>
    <row r="5" spans="1:12" x14ac:dyDescent="0.35">
      <c r="A5" s="10" t="s">
        <v>134</v>
      </c>
      <c r="B5" s="11" t="s">
        <v>44</v>
      </c>
      <c r="C5" s="11" t="s">
        <v>45</v>
      </c>
      <c r="D5" s="11" t="s">
        <v>46</v>
      </c>
      <c r="E5" s="11" t="s">
        <v>47</v>
      </c>
      <c r="F5" s="11" t="s">
        <v>48</v>
      </c>
      <c r="G5" s="11" t="s">
        <v>49</v>
      </c>
      <c r="H5" s="11" t="s">
        <v>50</v>
      </c>
      <c r="I5" s="11" t="s">
        <v>51</v>
      </c>
      <c r="J5" s="11" t="s">
        <v>135</v>
      </c>
    </row>
    <row r="6" spans="1:12" x14ac:dyDescent="0.35">
      <c r="A6" s="4" t="s">
        <v>136</v>
      </c>
      <c r="B6" s="4" t="s">
        <v>52</v>
      </c>
      <c r="C6" s="4" t="s">
        <v>53</v>
      </c>
      <c r="D6" s="4" t="s">
        <v>54</v>
      </c>
      <c r="E6" s="4" t="s">
        <v>55</v>
      </c>
      <c r="F6" s="4" t="s">
        <v>56</v>
      </c>
      <c r="G6" s="4" t="s">
        <v>57</v>
      </c>
      <c r="H6" s="4">
        <v>55</v>
      </c>
      <c r="I6" s="5">
        <v>42468</v>
      </c>
      <c r="J6" s="9">
        <v>141604</v>
      </c>
    </row>
    <row r="7" spans="1:12" x14ac:dyDescent="0.35">
      <c r="A7" s="4" t="s">
        <v>137</v>
      </c>
      <c r="B7" s="4" t="s">
        <v>58</v>
      </c>
      <c r="C7" s="4" t="s">
        <v>59</v>
      </c>
      <c r="D7" s="4" t="s">
        <v>54</v>
      </c>
      <c r="E7" s="4" t="s">
        <v>60</v>
      </c>
      <c r="F7" s="4" t="s">
        <v>61</v>
      </c>
      <c r="G7" s="4" t="s">
        <v>62</v>
      </c>
      <c r="H7" s="4">
        <v>59</v>
      </c>
      <c r="I7" s="5">
        <v>35763</v>
      </c>
      <c r="J7" s="9">
        <v>99975</v>
      </c>
    </row>
    <row r="8" spans="1:12" x14ac:dyDescent="0.35">
      <c r="A8" s="4" t="s">
        <v>138</v>
      </c>
      <c r="B8" s="4" t="s">
        <v>63</v>
      </c>
      <c r="C8" s="4" t="s">
        <v>64</v>
      </c>
      <c r="D8" s="4" t="s">
        <v>65</v>
      </c>
      <c r="E8" s="4" t="s">
        <v>66</v>
      </c>
      <c r="F8" s="4" t="s">
        <v>56</v>
      </c>
      <c r="G8" s="4" t="s">
        <v>67</v>
      </c>
      <c r="H8" s="4">
        <v>50</v>
      </c>
      <c r="I8" s="5">
        <v>39016</v>
      </c>
      <c r="J8" s="9">
        <v>163099</v>
      </c>
    </row>
    <row r="9" spans="1:12" x14ac:dyDescent="0.35">
      <c r="A9" s="4" t="s">
        <v>139</v>
      </c>
      <c r="B9" s="4" t="s">
        <v>68</v>
      </c>
      <c r="C9" s="4" t="s">
        <v>69</v>
      </c>
      <c r="D9" s="4" t="s">
        <v>54</v>
      </c>
      <c r="E9" s="4" t="s">
        <v>60</v>
      </c>
      <c r="F9" s="4" t="s">
        <v>56</v>
      </c>
      <c r="G9" s="4" t="s">
        <v>67</v>
      </c>
      <c r="H9" s="4">
        <v>26</v>
      </c>
      <c r="I9" s="5">
        <v>43735</v>
      </c>
      <c r="J9" s="9">
        <v>84913</v>
      </c>
    </row>
    <row r="10" spans="1:12" x14ac:dyDescent="0.35">
      <c r="A10" s="4" t="s">
        <v>140</v>
      </c>
      <c r="B10" s="4" t="s">
        <v>70</v>
      </c>
      <c r="C10" s="4" t="s">
        <v>71</v>
      </c>
      <c r="D10" s="4" t="s">
        <v>65</v>
      </c>
      <c r="E10" s="4" t="s">
        <v>60</v>
      </c>
      <c r="F10" s="4" t="s">
        <v>61</v>
      </c>
      <c r="G10" s="4" t="s">
        <v>62</v>
      </c>
      <c r="H10" s="4">
        <v>55</v>
      </c>
      <c r="I10" s="5">
        <v>35023</v>
      </c>
      <c r="J10" s="9">
        <v>95409</v>
      </c>
    </row>
    <row r="11" spans="1:12" x14ac:dyDescent="0.35">
      <c r="A11" s="4" t="s">
        <v>141</v>
      </c>
      <c r="B11" s="4" t="s">
        <v>72</v>
      </c>
      <c r="C11" s="4" t="s">
        <v>73</v>
      </c>
      <c r="D11" s="4" t="s">
        <v>74</v>
      </c>
      <c r="E11" s="4" t="s">
        <v>75</v>
      </c>
      <c r="F11" s="4" t="s">
        <v>61</v>
      </c>
      <c r="G11" s="4" t="s">
        <v>62</v>
      </c>
      <c r="H11" s="4">
        <v>57</v>
      </c>
      <c r="I11" s="5">
        <v>42759</v>
      </c>
      <c r="J11" s="9">
        <v>50994</v>
      </c>
    </row>
    <row r="12" spans="1:12" x14ac:dyDescent="0.35">
      <c r="A12" s="4" t="s">
        <v>142</v>
      </c>
      <c r="B12" s="4" t="s">
        <v>76</v>
      </c>
      <c r="C12" s="4" t="s">
        <v>77</v>
      </c>
      <c r="D12" s="4" t="s">
        <v>54</v>
      </c>
      <c r="E12" s="4" t="s">
        <v>75</v>
      </c>
      <c r="F12" s="4" t="s">
        <v>56</v>
      </c>
      <c r="G12" s="4" t="s">
        <v>67</v>
      </c>
      <c r="H12" s="4">
        <v>27</v>
      </c>
      <c r="I12" s="5">
        <v>44013</v>
      </c>
      <c r="J12" s="9">
        <v>119746</v>
      </c>
    </row>
    <row r="13" spans="1:12" x14ac:dyDescent="0.35">
      <c r="A13" s="4" t="s">
        <v>143</v>
      </c>
      <c r="B13" s="4" t="s">
        <v>78</v>
      </c>
      <c r="C13" s="4" t="s">
        <v>79</v>
      </c>
      <c r="D13" s="4" t="s">
        <v>65</v>
      </c>
      <c r="E13" s="4" t="s">
        <v>60</v>
      </c>
      <c r="F13" s="4" t="s">
        <v>61</v>
      </c>
      <c r="G13" s="4" t="s">
        <v>57</v>
      </c>
      <c r="H13" s="4">
        <v>25</v>
      </c>
      <c r="I13" s="5">
        <v>43967</v>
      </c>
      <c r="J13" s="9">
        <v>41336</v>
      </c>
    </row>
    <row r="14" spans="1:12" x14ac:dyDescent="0.35">
      <c r="A14" s="4" t="s">
        <v>144</v>
      </c>
      <c r="B14" s="4" t="s">
        <v>80</v>
      </c>
      <c r="C14" s="4" t="s">
        <v>77</v>
      </c>
      <c r="D14" s="4" t="s">
        <v>81</v>
      </c>
      <c r="E14" s="4" t="s">
        <v>60</v>
      </c>
      <c r="F14" s="4" t="s">
        <v>61</v>
      </c>
      <c r="G14" s="4" t="s">
        <v>67</v>
      </c>
      <c r="H14" s="4">
        <v>29</v>
      </c>
      <c r="I14" s="5">
        <v>43490</v>
      </c>
      <c r="J14" s="9">
        <v>113527</v>
      </c>
    </row>
    <row r="15" spans="1:12" x14ac:dyDescent="0.35">
      <c r="A15" s="4" t="s">
        <v>145</v>
      </c>
      <c r="B15" s="4" t="s">
        <v>82</v>
      </c>
      <c r="C15" s="4" t="s">
        <v>71</v>
      </c>
      <c r="D15" s="4" t="s">
        <v>65</v>
      </c>
      <c r="E15" s="4" t="s">
        <v>66</v>
      </c>
      <c r="F15" s="4" t="s">
        <v>56</v>
      </c>
      <c r="G15" s="4" t="s">
        <v>67</v>
      </c>
      <c r="H15" s="4">
        <v>34</v>
      </c>
      <c r="I15" s="5">
        <v>43264</v>
      </c>
      <c r="J15" s="9">
        <v>77203</v>
      </c>
    </row>
    <row r="16" spans="1:12" x14ac:dyDescent="0.35">
      <c r="A16" s="4" t="s">
        <v>146</v>
      </c>
      <c r="B16" s="4" t="s">
        <v>83</v>
      </c>
      <c r="C16" s="4" t="s">
        <v>53</v>
      </c>
      <c r="D16" s="4" t="s">
        <v>84</v>
      </c>
      <c r="E16" s="4" t="s">
        <v>60</v>
      </c>
      <c r="F16" s="4" t="s">
        <v>56</v>
      </c>
      <c r="G16" s="4" t="s">
        <v>62</v>
      </c>
      <c r="H16" s="4">
        <v>36</v>
      </c>
      <c r="I16" s="5">
        <v>39855</v>
      </c>
      <c r="J16" s="9">
        <v>157333</v>
      </c>
      <c r="L16" t="str">
        <f>VLOOKUP("E03838",A5:J104,4,0)</f>
        <v>Finance</v>
      </c>
    </row>
    <row r="17" spans="1:12" x14ac:dyDescent="0.35">
      <c r="A17" s="4" t="s">
        <v>147</v>
      </c>
      <c r="B17" s="4" t="s">
        <v>85</v>
      </c>
      <c r="C17" s="4" t="s">
        <v>86</v>
      </c>
      <c r="D17" s="4" t="s">
        <v>87</v>
      </c>
      <c r="E17" s="4" t="s">
        <v>66</v>
      </c>
      <c r="F17" s="4" t="s">
        <v>56</v>
      </c>
      <c r="G17" s="4" t="s">
        <v>67</v>
      </c>
      <c r="H17" s="4">
        <v>27</v>
      </c>
      <c r="I17" s="5">
        <v>44490</v>
      </c>
      <c r="J17" s="9">
        <v>109851</v>
      </c>
    </row>
    <row r="18" spans="1:12" x14ac:dyDescent="0.35">
      <c r="A18" s="4" t="s">
        <v>148</v>
      </c>
      <c r="B18" s="4" t="s">
        <v>88</v>
      </c>
      <c r="C18" s="4" t="s">
        <v>77</v>
      </c>
      <c r="D18" s="4" t="s">
        <v>84</v>
      </c>
      <c r="E18" s="4" t="s">
        <v>60</v>
      </c>
      <c r="F18" s="4" t="s">
        <v>61</v>
      </c>
      <c r="G18" s="4" t="s">
        <v>67</v>
      </c>
      <c r="H18" s="4">
        <v>59</v>
      </c>
      <c r="I18" s="5">
        <v>36233</v>
      </c>
      <c r="J18" s="9">
        <v>105086</v>
      </c>
    </row>
    <row r="19" spans="1:12" x14ac:dyDescent="0.35">
      <c r="A19" s="4" t="s">
        <v>149</v>
      </c>
      <c r="B19" s="4" t="s">
        <v>89</v>
      </c>
      <c r="C19" s="4" t="s">
        <v>53</v>
      </c>
      <c r="D19" s="4" t="s">
        <v>65</v>
      </c>
      <c r="E19" s="4" t="s">
        <v>55</v>
      </c>
      <c r="F19" s="4" t="s">
        <v>56</v>
      </c>
      <c r="G19" s="4" t="s">
        <v>62</v>
      </c>
      <c r="H19" s="4">
        <v>51</v>
      </c>
      <c r="I19" s="5">
        <v>44357</v>
      </c>
      <c r="J19" s="9">
        <v>146742</v>
      </c>
      <c r="L19" s="1">
        <f>VLOOKUP("Camila Rogers",B5:J104,8,0)</f>
        <v>44490</v>
      </c>
    </row>
    <row r="20" spans="1:12" x14ac:dyDescent="0.35">
      <c r="A20" s="4" t="s">
        <v>150</v>
      </c>
      <c r="B20" s="4" t="s">
        <v>90</v>
      </c>
      <c r="C20" s="4" t="s">
        <v>71</v>
      </c>
      <c r="D20" s="4" t="s">
        <v>81</v>
      </c>
      <c r="E20" s="4" t="s">
        <v>66</v>
      </c>
      <c r="F20" s="4" t="s">
        <v>61</v>
      </c>
      <c r="G20" s="4" t="s">
        <v>62</v>
      </c>
      <c r="H20" s="4">
        <v>31</v>
      </c>
      <c r="I20" s="5">
        <v>43043</v>
      </c>
      <c r="J20" s="9">
        <v>97078</v>
      </c>
    </row>
    <row r="21" spans="1:12" x14ac:dyDescent="0.35">
      <c r="A21" s="4" t="s">
        <v>151</v>
      </c>
      <c r="B21" s="4" t="s">
        <v>91</v>
      </c>
      <c r="C21" s="4" t="s">
        <v>92</v>
      </c>
      <c r="D21" s="4" t="s">
        <v>93</v>
      </c>
      <c r="E21" s="4" t="s">
        <v>55</v>
      </c>
      <c r="F21" s="4" t="s">
        <v>56</v>
      </c>
      <c r="G21" s="4" t="s">
        <v>62</v>
      </c>
      <c r="H21" s="4">
        <v>41</v>
      </c>
      <c r="I21" s="5">
        <v>41346</v>
      </c>
      <c r="J21" s="9">
        <v>249270</v>
      </c>
    </row>
    <row r="22" spans="1:12" x14ac:dyDescent="0.35">
      <c r="A22" s="4" t="s">
        <v>152</v>
      </c>
      <c r="B22" s="4" t="s">
        <v>94</v>
      </c>
      <c r="C22" s="4" t="s">
        <v>64</v>
      </c>
      <c r="D22" s="4" t="s">
        <v>65</v>
      </c>
      <c r="E22" s="4" t="s">
        <v>55</v>
      </c>
      <c r="F22" s="4" t="s">
        <v>56</v>
      </c>
      <c r="G22" s="4" t="s">
        <v>57</v>
      </c>
      <c r="H22" s="4">
        <v>65</v>
      </c>
      <c r="I22" s="5">
        <v>37319</v>
      </c>
      <c r="J22" s="9">
        <v>175837</v>
      </c>
    </row>
    <row r="23" spans="1:12" x14ac:dyDescent="0.35">
      <c r="A23" s="4" t="s">
        <v>153</v>
      </c>
      <c r="B23" s="4" t="s">
        <v>95</v>
      </c>
      <c r="C23" s="4" t="s">
        <v>53</v>
      </c>
      <c r="D23" s="4" t="s">
        <v>93</v>
      </c>
      <c r="E23" s="4" t="s">
        <v>66</v>
      </c>
      <c r="F23" s="4" t="s">
        <v>56</v>
      </c>
      <c r="G23" s="4" t="s">
        <v>96</v>
      </c>
      <c r="H23" s="4">
        <v>64</v>
      </c>
      <c r="I23" s="5">
        <v>37956</v>
      </c>
      <c r="J23" s="9">
        <v>154828</v>
      </c>
      <c r="L23" s="12">
        <f>VLOOKUP("E00884",Table1[],10,0)</f>
        <v>154828</v>
      </c>
    </row>
    <row r="24" spans="1:12" x14ac:dyDescent="0.35">
      <c r="A24" s="4" t="s">
        <v>154</v>
      </c>
      <c r="B24" s="4" t="s">
        <v>97</v>
      </c>
      <c r="C24" s="4" t="s">
        <v>64</v>
      </c>
      <c r="D24" s="4" t="s">
        <v>54</v>
      </c>
      <c r="E24" s="4" t="s">
        <v>75</v>
      </c>
      <c r="F24" s="4" t="s">
        <v>61</v>
      </c>
      <c r="G24" s="4" t="s">
        <v>67</v>
      </c>
      <c r="H24" s="4">
        <v>64</v>
      </c>
      <c r="I24" s="5">
        <v>41581</v>
      </c>
      <c r="J24" s="9">
        <v>186503</v>
      </c>
    </row>
    <row r="25" spans="1:12" x14ac:dyDescent="0.35">
      <c r="A25" s="4" t="s">
        <v>155</v>
      </c>
      <c r="B25" s="4" t="s">
        <v>98</v>
      </c>
      <c r="C25" s="4" t="s">
        <v>64</v>
      </c>
      <c r="D25" s="4" t="s">
        <v>74</v>
      </c>
      <c r="E25" s="4" t="s">
        <v>55</v>
      </c>
      <c r="F25" s="4" t="s">
        <v>61</v>
      </c>
      <c r="G25" s="4" t="s">
        <v>62</v>
      </c>
      <c r="H25" s="4">
        <v>45</v>
      </c>
      <c r="I25" s="5">
        <v>37446</v>
      </c>
      <c r="J25" s="9">
        <v>166331</v>
      </c>
    </row>
    <row r="26" spans="1:12" x14ac:dyDescent="0.35">
      <c r="A26" s="4" t="s">
        <v>156</v>
      </c>
      <c r="B26" s="4" t="s">
        <v>99</v>
      </c>
      <c r="C26" s="4" t="s">
        <v>53</v>
      </c>
      <c r="D26" s="4" t="s">
        <v>54</v>
      </c>
      <c r="E26" s="4" t="s">
        <v>60</v>
      </c>
      <c r="F26" s="4" t="s">
        <v>61</v>
      </c>
      <c r="G26" s="4" t="s">
        <v>96</v>
      </c>
      <c r="H26" s="4">
        <v>56</v>
      </c>
      <c r="I26" s="5">
        <v>40917</v>
      </c>
      <c r="J26" s="9">
        <v>146140</v>
      </c>
    </row>
    <row r="27" spans="1:12" x14ac:dyDescent="0.35">
      <c r="A27" s="4" t="s">
        <v>157</v>
      </c>
      <c r="B27" s="4" t="s">
        <v>100</v>
      </c>
      <c r="C27" s="4" t="s">
        <v>64</v>
      </c>
      <c r="D27" s="4" t="s">
        <v>74</v>
      </c>
      <c r="E27" s="4" t="s">
        <v>60</v>
      </c>
      <c r="F27" s="4" t="s">
        <v>56</v>
      </c>
      <c r="G27" s="4" t="s">
        <v>96</v>
      </c>
      <c r="H27" s="4">
        <v>36</v>
      </c>
      <c r="I27" s="5">
        <v>44288</v>
      </c>
      <c r="J27" s="9">
        <v>151703</v>
      </c>
    </row>
    <row r="28" spans="1:12" x14ac:dyDescent="0.35">
      <c r="A28" s="4" t="s">
        <v>158</v>
      </c>
      <c r="B28" s="4" t="s">
        <v>101</v>
      </c>
      <c r="C28" s="4" t="s">
        <v>64</v>
      </c>
      <c r="D28" s="4" t="s">
        <v>54</v>
      </c>
      <c r="E28" s="4" t="s">
        <v>55</v>
      </c>
      <c r="F28" s="4" t="s">
        <v>61</v>
      </c>
      <c r="G28" s="4" t="s">
        <v>96</v>
      </c>
      <c r="H28" s="4">
        <v>59</v>
      </c>
      <c r="I28" s="5">
        <v>37400</v>
      </c>
      <c r="J28" s="9">
        <v>172787</v>
      </c>
    </row>
    <row r="29" spans="1:12" x14ac:dyDescent="0.35">
      <c r="A29" s="4" t="s">
        <v>159</v>
      </c>
      <c r="B29" s="4" t="s">
        <v>102</v>
      </c>
      <c r="C29" s="4" t="s">
        <v>79</v>
      </c>
      <c r="D29" s="4" t="s">
        <v>74</v>
      </c>
      <c r="E29" s="4" t="s">
        <v>66</v>
      </c>
      <c r="F29" s="4" t="s">
        <v>61</v>
      </c>
      <c r="G29" s="4" t="s">
        <v>67</v>
      </c>
      <c r="H29" s="4">
        <v>37</v>
      </c>
      <c r="I29" s="5">
        <v>43713</v>
      </c>
      <c r="J29" s="9">
        <v>49998</v>
      </c>
      <c r="L29" t="s">
        <v>171</v>
      </c>
    </row>
    <row r="30" spans="1:12" x14ac:dyDescent="0.35">
      <c r="A30" s="4" t="s">
        <v>160</v>
      </c>
      <c r="B30" s="4" t="s">
        <v>103</v>
      </c>
      <c r="C30" s="4" t="s">
        <v>92</v>
      </c>
      <c r="D30" s="4" t="s">
        <v>74</v>
      </c>
      <c r="E30" s="4" t="s">
        <v>66</v>
      </c>
      <c r="F30" s="4" t="s">
        <v>61</v>
      </c>
      <c r="G30" s="4" t="s">
        <v>62</v>
      </c>
      <c r="H30" s="4">
        <v>44</v>
      </c>
      <c r="I30" s="5">
        <v>41700</v>
      </c>
      <c r="J30" s="9">
        <v>207172</v>
      </c>
    </row>
    <row r="31" spans="1:12" x14ac:dyDescent="0.35">
      <c r="A31" s="4" t="s">
        <v>161</v>
      </c>
      <c r="B31" s="4" t="s">
        <v>104</v>
      </c>
      <c r="C31" s="4" t="s">
        <v>64</v>
      </c>
      <c r="D31" s="4" t="s">
        <v>84</v>
      </c>
      <c r="E31" s="4" t="s">
        <v>66</v>
      </c>
      <c r="F31" s="4" t="s">
        <v>61</v>
      </c>
      <c r="G31" s="4" t="s">
        <v>57</v>
      </c>
      <c r="H31" s="4">
        <v>41</v>
      </c>
      <c r="I31" s="5">
        <v>42111</v>
      </c>
      <c r="J31" s="9">
        <v>152239</v>
      </c>
      <c r="L31" s="12">
        <f>VLOOKUP(L29,Table1[],10,0)</f>
        <v>99575</v>
      </c>
    </row>
    <row r="32" spans="1:12" x14ac:dyDescent="0.35">
      <c r="A32" s="4" t="s">
        <v>162</v>
      </c>
      <c r="B32" s="4" t="s">
        <v>105</v>
      </c>
      <c r="C32" s="4" t="s">
        <v>106</v>
      </c>
      <c r="D32" s="4" t="s">
        <v>87</v>
      </c>
      <c r="E32" s="4" t="s">
        <v>75</v>
      </c>
      <c r="F32" s="4" t="s">
        <v>56</v>
      </c>
      <c r="G32" s="4" t="s">
        <v>96</v>
      </c>
      <c r="H32" s="4">
        <v>56</v>
      </c>
      <c r="I32" s="5">
        <v>38388</v>
      </c>
      <c r="J32" s="9">
        <v>98581</v>
      </c>
    </row>
    <row r="33" spans="1:12" x14ac:dyDescent="0.35">
      <c r="A33" s="4" t="s">
        <v>163</v>
      </c>
      <c r="B33" s="4" t="s">
        <v>107</v>
      </c>
      <c r="C33" s="4" t="s">
        <v>92</v>
      </c>
      <c r="D33" s="4" t="s">
        <v>87</v>
      </c>
      <c r="E33" s="4" t="s">
        <v>66</v>
      </c>
      <c r="F33" s="4" t="s">
        <v>61</v>
      </c>
      <c r="G33" s="4" t="s">
        <v>62</v>
      </c>
      <c r="H33" s="4">
        <v>43</v>
      </c>
      <c r="I33" s="5">
        <v>38145</v>
      </c>
      <c r="J33" s="9">
        <v>246231</v>
      </c>
    </row>
    <row r="34" spans="1:12" x14ac:dyDescent="0.35">
      <c r="A34" s="4" t="s">
        <v>164</v>
      </c>
      <c r="B34" s="4" t="s">
        <v>108</v>
      </c>
      <c r="C34" s="4" t="s">
        <v>109</v>
      </c>
      <c r="D34" s="4" t="s">
        <v>87</v>
      </c>
      <c r="E34" s="4" t="s">
        <v>66</v>
      </c>
      <c r="F34" s="4" t="s">
        <v>61</v>
      </c>
      <c r="G34" s="4" t="s">
        <v>62</v>
      </c>
      <c r="H34" s="4">
        <v>64</v>
      </c>
      <c r="I34" s="5">
        <v>35403</v>
      </c>
      <c r="J34" s="9">
        <v>99354</v>
      </c>
    </row>
    <row r="35" spans="1:12" x14ac:dyDescent="0.35">
      <c r="A35" s="4" t="s">
        <v>165</v>
      </c>
      <c r="B35" s="4" t="s">
        <v>110</v>
      </c>
      <c r="C35" s="4" t="s">
        <v>92</v>
      </c>
      <c r="D35" s="4" t="s">
        <v>54</v>
      </c>
      <c r="E35" s="4" t="s">
        <v>75</v>
      </c>
      <c r="F35" s="4" t="s">
        <v>61</v>
      </c>
      <c r="G35" s="4" t="s">
        <v>62</v>
      </c>
      <c r="H35" s="4">
        <v>63</v>
      </c>
      <c r="I35" s="5">
        <v>41040</v>
      </c>
      <c r="J35" s="9">
        <v>231141</v>
      </c>
    </row>
    <row r="36" spans="1:12" x14ac:dyDescent="0.35">
      <c r="A36" s="4" t="s">
        <v>166</v>
      </c>
      <c r="B36" s="4" t="s">
        <v>111</v>
      </c>
      <c r="C36" s="4" t="s">
        <v>112</v>
      </c>
      <c r="D36" s="4" t="s">
        <v>54</v>
      </c>
      <c r="E36" s="4" t="s">
        <v>55</v>
      </c>
      <c r="F36" s="4" t="s">
        <v>61</v>
      </c>
      <c r="G36" s="4" t="s">
        <v>62</v>
      </c>
      <c r="H36" s="4">
        <v>28</v>
      </c>
      <c r="I36" s="5">
        <v>42911</v>
      </c>
      <c r="J36" s="9">
        <v>54775</v>
      </c>
    </row>
    <row r="37" spans="1:12" x14ac:dyDescent="0.35">
      <c r="A37" s="4" t="s">
        <v>167</v>
      </c>
      <c r="B37" s="4" t="s">
        <v>113</v>
      </c>
      <c r="C37" s="4" t="s">
        <v>79</v>
      </c>
      <c r="D37" s="4" t="s">
        <v>65</v>
      </c>
      <c r="E37" s="4" t="s">
        <v>60</v>
      </c>
      <c r="F37" s="4" t="s">
        <v>61</v>
      </c>
      <c r="G37" s="4" t="s">
        <v>96</v>
      </c>
      <c r="H37" s="4">
        <v>65</v>
      </c>
      <c r="I37" s="5">
        <v>38123</v>
      </c>
      <c r="J37" s="9">
        <v>55499</v>
      </c>
    </row>
    <row r="38" spans="1:12" x14ac:dyDescent="0.35">
      <c r="A38" s="4" t="s">
        <v>168</v>
      </c>
      <c r="B38" s="4" t="s">
        <v>114</v>
      </c>
      <c r="C38" s="4" t="s">
        <v>115</v>
      </c>
      <c r="D38" s="4" t="s">
        <v>74</v>
      </c>
      <c r="E38" s="4" t="s">
        <v>55</v>
      </c>
      <c r="F38" s="4" t="s">
        <v>61</v>
      </c>
      <c r="G38" s="4" t="s">
        <v>67</v>
      </c>
      <c r="H38" s="4">
        <v>61</v>
      </c>
      <c r="I38" s="5">
        <v>39640</v>
      </c>
      <c r="J38" s="9">
        <v>66521</v>
      </c>
      <c r="L38" t="str">
        <f>INDEX(Table1[Full Name],7)</f>
        <v>Ruby Barnes</v>
      </c>
    </row>
    <row r="39" spans="1:12" x14ac:dyDescent="0.35">
      <c r="A39" s="4" t="s">
        <v>169</v>
      </c>
      <c r="B39" s="4" t="s">
        <v>116</v>
      </c>
      <c r="C39" s="4" t="s">
        <v>73</v>
      </c>
      <c r="D39" s="4" t="s">
        <v>74</v>
      </c>
      <c r="E39" s="4" t="s">
        <v>66</v>
      </c>
      <c r="F39" s="4" t="s">
        <v>61</v>
      </c>
      <c r="G39" s="4" t="s">
        <v>62</v>
      </c>
      <c r="H39" s="4">
        <v>30</v>
      </c>
      <c r="I39" s="5">
        <v>42642</v>
      </c>
      <c r="J39" s="9">
        <v>59100</v>
      </c>
    </row>
    <row r="40" spans="1:12" x14ac:dyDescent="0.35">
      <c r="A40" s="4" t="s">
        <v>170</v>
      </c>
      <c r="B40" s="4" t="s">
        <v>117</v>
      </c>
      <c r="C40" s="4" t="s">
        <v>79</v>
      </c>
      <c r="D40" s="4" t="s">
        <v>65</v>
      </c>
      <c r="E40" s="4" t="s">
        <v>55</v>
      </c>
      <c r="F40" s="4" t="s">
        <v>56</v>
      </c>
      <c r="G40" s="4" t="s">
        <v>67</v>
      </c>
      <c r="H40" s="4">
        <v>27</v>
      </c>
      <c r="I40" s="5">
        <v>43226</v>
      </c>
      <c r="J40" s="9">
        <v>49011</v>
      </c>
      <c r="L40">
        <f>MATCH(L38,Table1[Full Name],0)</f>
        <v>7</v>
      </c>
    </row>
    <row r="41" spans="1:12" x14ac:dyDescent="0.35">
      <c r="A41" s="4" t="s">
        <v>171</v>
      </c>
      <c r="B41" s="4" t="s">
        <v>118</v>
      </c>
      <c r="C41" s="4" t="s">
        <v>119</v>
      </c>
      <c r="D41" s="4" t="s">
        <v>54</v>
      </c>
      <c r="E41" s="4" t="s">
        <v>60</v>
      </c>
      <c r="F41" s="4" t="s">
        <v>56</v>
      </c>
      <c r="G41" s="4" t="s">
        <v>67</v>
      </c>
      <c r="H41" s="4">
        <v>32</v>
      </c>
      <c r="I41" s="5">
        <v>41681</v>
      </c>
      <c r="J41" s="9">
        <v>99575</v>
      </c>
    </row>
    <row r="42" spans="1:12" x14ac:dyDescent="0.35">
      <c r="A42" s="4" t="s">
        <v>172</v>
      </c>
      <c r="B42" s="4" t="s">
        <v>120</v>
      </c>
      <c r="C42" s="4" t="s">
        <v>86</v>
      </c>
      <c r="D42" s="4" t="s">
        <v>87</v>
      </c>
      <c r="E42" s="4" t="s">
        <v>60</v>
      </c>
      <c r="F42" s="4" t="s">
        <v>56</v>
      </c>
      <c r="G42" s="4" t="s">
        <v>62</v>
      </c>
      <c r="H42" s="4">
        <v>34</v>
      </c>
      <c r="I42" s="5">
        <v>43815</v>
      </c>
      <c r="J42" s="9">
        <v>99989</v>
      </c>
    </row>
    <row r="43" spans="1:12" x14ac:dyDescent="0.35">
      <c r="A43" s="4" t="s">
        <v>173</v>
      </c>
      <c r="B43" s="4" t="s">
        <v>121</v>
      </c>
      <c r="C43" s="4" t="s">
        <v>92</v>
      </c>
      <c r="D43" s="4" t="s">
        <v>93</v>
      </c>
      <c r="E43" s="4" t="s">
        <v>55</v>
      </c>
      <c r="F43" s="4" t="s">
        <v>61</v>
      </c>
      <c r="G43" s="4" t="s">
        <v>67</v>
      </c>
      <c r="H43" s="4">
        <v>27</v>
      </c>
      <c r="I43" s="5">
        <v>43758</v>
      </c>
      <c r="J43" s="9">
        <v>256420</v>
      </c>
      <c r="L43" t="str">
        <f>INDEX(Table1[Full Name],MATCH(L29,Table1[EEID],0))</f>
        <v>Nora Brown</v>
      </c>
    </row>
    <row r="44" spans="1:12" x14ac:dyDescent="0.35">
      <c r="A44" s="4" t="s">
        <v>174</v>
      </c>
      <c r="B44" s="4" t="s">
        <v>122</v>
      </c>
      <c r="C44" s="4" t="s">
        <v>59</v>
      </c>
      <c r="D44" s="4" t="s">
        <v>54</v>
      </c>
      <c r="E44" s="4" t="s">
        <v>60</v>
      </c>
      <c r="F44" s="4" t="s">
        <v>56</v>
      </c>
      <c r="G44" s="4" t="s">
        <v>96</v>
      </c>
      <c r="H44" s="4">
        <v>35</v>
      </c>
      <c r="I44" s="5">
        <v>41409</v>
      </c>
      <c r="J44" s="9">
        <v>78940</v>
      </c>
    </row>
    <row r="45" spans="1:12" x14ac:dyDescent="0.35">
      <c r="A45" s="4" t="s">
        <v>175</v>
      </c>
      <c r="B45" s="4" t="s">
        <v>123</v>
      </c>
      <c r="C45" s="4" t="s">
        <v>119</v>
      </c>
      <c r="D45" s="4" t="s">
        <v>54</v>
      </c>
      <c r="E45" s="4" t="s">
        <v>75</v>
      </c>
      <c r="F45" s="4" t="s">
        <v>56</v>
      </c>
      <c r="G45" s="4" t="s">
        <v>96</v>
      </c>
      <c r="H45" s="4">
        <v>57</v>
      </c>
      <c r="I45" s="5">
        <v>34337</v>
      </c>
      <c r="J45" s="9">
        <v>82872</v>
      </c>
    </row>
    <row r="46" spans="1:12" x14ac:dyDescent="0.35">
      <c r="A46" s="4" t="s">
        <v>176</v>
      </c>
      <c r="B46" s="4" t="s">
        <v>124</v>
      </c>
      <c r="C46" s="4" t="s">
        <v>125</v>
      </c>
      <c r="D46" s="4" t="s">
        <v>84</v>
      </c>
      <c r="E46" s="4" t="s">
        <v>66</v>
      </c>
      <c r="F46" s="4" t="s">
        <v>61</v>
      </c>
      <c r="G46" s="4" t="s">
        <v>62</v>
      </c>
      <c r="H46" s="4">
        <v>30</v>
      </c>
      <c r="I46" s="5">
        <v>42884</v>
      </c>
      <c r="J46" s="9">
        <v>86317</v>
      </c>
    </row>
    <row r="47" spans="1:12" x14ac:dyDescent="0.35">
      <c r="A47" s="4" t="s">
        <v>177</v>
      </c>
      <c r="B47" s="4" t="s">
        <v>126</v>
      </c>
      <c r="C47" s="4" t="s">
        <v>77</v>
      </c>
      <c r="D47" s="4" t="s">
        <v>93</v>
      </c>
      <c r="E47" s="4" t="s">
        <v>66</v>
      </c>
      <c r="F47" s="4" t="s">
        <v>56</v>
      </c>
      <c r="G47" s="4" t="s">
        <v>67</v>
      </c>
      <c r="H47" s="4">
        <v>53</v>
      </c>
      <c r="I47" s="5">
        <v>41601</v>
      </c>
      <c r="J47" s="9">
        <v>113135</v>
      </c>
    </row>
    <row r="48" spans="1:12" x14ac:dyDescent="0.35">
      <c r="A48" s="4" t="s">
        <v>178</v>
      </c>
      <c r="B48" s="4" t="s">
        <v>127</v>
      </c>
      <c r="C48" s="4" t="s">
        <v>92</v>
      </c>
      <c r="D48" s="4" t="s">
        <v>54</v>
      </c>
      <c r="E48" s="4" t="s">
        <v>66</v>
      </c>
      <c r="F48" s="4" t="s">
        <v>61</v>
      </c>
      <c r="G48" s="4" t="s">
        <v>67</v>
      </c>
      <c r="H48" s="4">
        <v>52</v>
      </c>
      <c r="I48" s="5">
        <v>38664</v>
      </c>
      <c r="J48" s="9">
        <v>199808</v>
      </c>
      <c r="L48" t="s">
        <v>296</v>
      </c>
    </row>
    <row r="49" spans="1:12" x14ac:dyDescent="0.35">
      <c r="A49" s="4" t="s">
        <v>179</v>
      </c>
      <c r="B49" s="4" t="s">
        <v>128</v>
      </c>
      <c r="C49" s="4" t="s">
        <v>73</v>
      </c>
      <c r="D49" s="4" t="s">
        <v>74</v>
      </c>
      <c r="E49" s="4" t="s">
        <v>66</v>
      </c>
      <c r="F49" s="4" t="s">
        <v>61</v>
      </c>
      <c r="G49" s="4" t="s">
        <v>62</v>
      </c>
      <c r="H49" s="4">
        <v>37</v>
      </c>
      <c r="I49" s="5">
        <v>41592</v>
      </c>
      <c r="J49" s="9">
        <v>56037</v>
      </c>
    </row>
    <row r="50" spans="1:12" x14ac:dyDescent="0.35">
      <c r="A50" s="4" t="s">
        <v>180</v>
      </c>
      <c r="B50" s="4" t="s">
        <v>129</v>
      </c>
      <c r="C50" s="4" t="s">
        <v>53</v>
      </c>
      <c r="D50" s="4" t="s">
        <v>93</v>
      </c>
      <c r="E50" s="4" t="s">
        <v>55</v>
      </c>
      <c r="F50" s="4" t="s">
        <v>56</v>
      </c>
      <c r="G50" s="4" t="s">
        <v>67</v>
      </c>
      <c r="H50" s="4">
        <v>29</v>
      </c>
      <c r="I50" s="5">
        <v>43609</v>
      </c>
      <c r="J50" s="9">
        <v>122350</v>
      </c>
      <c r="L50" s="13">
        <f>_xlfn.XLOOKUP(L29,Table1[EEID],Table1[Annual Salary])</f>
        <v>99575</v>
      </c>
    </row>
    <row r="51" spans="1:12" x14ac:dyDescent="0.35">
      <c r="A51" s="4" t="s">
        <v>181</v>
      </c>
      <c r="B51" s="4" t="s">
        <v>130</v>
      </c>
      <c r="C51" s="4" t="s">
        <v>119</v>
      </c>
      <c r="D51" s="4" t="s">
        <v>54</v>
      </c>
      <c r="E51" s="4" t="s">
        <v>55</v>
      </c>
      <c r="F51" s="4" t="s">
        <v>61</v>
      </c>
      <c r="G51" s="4" t="s">
        <v>67</v>
      </c>
      <c r="H51" s="4">
        <v>40</v>
      </c>
      <c r="I51" s="5">
        <v>40486</v>
      </c>
      <c r="J51" s="9">
        <v>92952</v>
      </c>
    </row>
    <row r="52" spans="1:12" x14ac:dyDescent="0.35">
      <c r="A52" s="4" t="s">
        <v>182</v>
      </c>
      <c r="B52" s="4" t="s">
        <v>131</v>
      </c>
      <c r="C52" s="4" t="s">
        <v>69</v>
      </c>
      <c r="D52" s="4" t="s">
        <v>54</v>
      </c>
      <c r="E52" s="4" t="s">
        <v>75</v>
      </c>
      <c r="F52" s="4" t="s">
        <v>61</v>
      </c>
      <c r="G52" s="4" t="s">
        <v>96</v>
      </c>
      <c r="H52" s="4">
        <v>32</v>
      </c>
      <c r="I52" s="5">
        <v>41353</v>
      </c>
      <c r="J52" s="9">
        <v>79921</v>
      </c>
    </row>
    <row r="53" spans="1:12" x14ac:dyDescent="0.35">
      <c r="A53" s="4" t="s">
        <v>183</v>
      </c>
      <c r="B53" s="4" t="s">
        <v>132</v>
      </c>
      <c r="C53" s="4" t="s">
        <v>64</v>
      </c>
      <c r="D53" s="4" t="s">
        <v>54</v>
      </c>
      <c r="E53" s="4" t="s">
        <v>55</v>
      </c>
      <c r="F53" s="4" t="s">
        <v>56</v>
      </c>
      <c r="G53" s="4" t="s">
        <v>57</v>
      </c>
      <c r="H53" s="4">
        <v>37</v>
      </c>
      <c r="I53" s="5">
        <v>40076</v>
      </c>
      <c r="J53" s="9">
        <v>167199</v>
      </c>
    </row>
    <row r="54" spans="1:12" x14ac:dyDescent="0.35">
      <c r="A54" s="4" t="s">
        <v>184</v>
      </c>
      <c r="B54" s="4" t="s">
        <v>133</v>
      </c>
      <c r="C54" s="4" t="s">
        <v>106</v>
      </c>
      <c r="D54" s="4" t="s">
        <v>87</v>
      </c>
      <c r="E54" s="4" t="s">
        <v>55</v>
      </c>
      <c r="F54" s="4" t="s">
        <v>61</v>
      </c>
      <c r="G54" s="4" t="s">
        <v>67</v>
      </c>
      <c r="H54" s="4">
        <v>52</v>
      </c>
      <c r="I54" s="5">
        <v>41199</v>
      </c>
      <c r="J54" s="9">
        <v>71476</v>
      </c>
    </row>
    <row r="55" spans="1:12" x14ac:dyDescent="0.35">
      <c r="A55" s="4" t="s">
        <v>185</v>
      </c>
      <c r="B55" s="4" t="s">
        <v>186</v>
      </c>
      <c r="C55" s="4" t="s">
        <v>64</v>
      </c>
      <c r="D55" s="4" t="s">
        <v>87</v>
      </c>
      <c r="E55" s="4" t="s">
        <v>60</v>
      </c>
      <c r="F55" s="4" t="s">
        <v>56</v>
      </c>
      <c r="G55" s="4" t="s">
        <v>67</v>
      </c>
      <c r="H55" s="4">
        <v>45</v>
      </c>
      <c r="I55" s="5">
        <v>41941</v>
      </c>
      <c r="J55" s="9">
        <v>189420</v>
      </c>
    </row>
    <row r="56" spans="1:12" x14ac:dyDescent="0.35">
      <c r="A56" s="4" t="s">
        <v>187</v>
      </c>
      <c r="B56" s="4" t="s">
        <v>188</v>
      </c>
      <c r="C56" s="4" t="s">
        <v>189</v>
      </c>
      <c r="D56" s="4" t="s">
        <v>84</v>
      </c>
      <c r="E56" s="4" t="s">
        <v>55</v>
      </c>
      <c r="F56" s="4" t="s">
        <v>56</v>
      </c>
      <c r="G56" s="4" t="s">
        <v>67</v>
      </c>
      <c r="H56" s="4">
        <v>64</v>
      </c>
      <c r="I56" s="5">
        <v>37184</v>
      </c>
      <c r="J56" s="9">
        <v>64057</v>
      </c>
    </row>
    <row r="57" spans="1:12" x14ac:dyDescent="0.35">
      <c r="A57" s="4" t="s">
        <v>190</v>
      </c>
      <c r="B57" s="4" t="s">
        <v>191</v>
      </c>
      <c r="C57" s="4" t="s">
        <v>115</v>
      </c>
      <c r="D57" s="4" t="s">
        <v>93</v>
      </c>
      <c r="E57" s="4" t="s">
        <v>60</v>
      </c>
      <c r="F57" s="4" t="s">
        <v>56</v>
      </c>
      <c r="G57" s="4" t="s">
        <v>57</v>
      </c>
      <c r="H57" s="4">
        <v>27</v>
      </c>
      <c r="I57" s="5">
        <v>44460</v>
      </c>
      <c r="J57" s="9">
        <v>68728</v>
      </c>
    </row>
    <row r="58" spans="1:12" x14ac:dyDescent="0.35">
      <c r="A58" s="4" t="s">
        <v>192</v>
      </c>
      <c r="B58" s="4" t="s">
        <v>193</v>
      </c>
      <c r="C58" s="4" t="s">
        <v>53</v>
      </c>
      <c r="D58" s="4" t="s">
        <v>54</v>
      </c>
      <c r="E58" s="4" t="s">
        <v>60</v>
      </c>
      <c r="F58" s="4" t="s">
        <v>56</v>
      </c>
      <c r="G58" s="4" t="s">
        <v>62</v>
      </c>
      <c r="H58" s="4">
        <v>25</v>
      </c>
      <c r="I58" s="5">
        <v>44379</v>
      </c>
      <c r="J58" s="9">
        <v>125633</v>
      </c>
    </row>
    <row r="59" spans="1:12" x14ac:dyDescent="0.35">
      <c r="A59" s="4" t="s">
        <v>194</v>
      </c>
      <c r="B59" s="4" t="s">
        <v>195</v>
      </c>
      <c r="C59" s="4" t="s">
        <v>115</v>
      </c>
      <c r="D59" s="4" t="s">
        <v>93</v>
      </c>
      <c r="E59" s="4" t="s">
        <v>60</v>
      </c>
      <c r="F59" s="4" t="s">
        <v>61</v>
      </c>
      <c r="G59" s="4" t="s">
        <v>96</v>
      </c>
      <c r="H59" s="4">
        <v>35</v>
      </c>
      <c r="I59" s="5">
        <v>40678</v>
      </c>
      <c r="J59" s="9">
        <v>66889</v>
      </c>
    </row>
    <row r="60" spans="1:12" x14ac:dyDescent="0.35">
      <c r="A60" s="4" t="s">
        <v>196</v>
      </c>
      <c r="B60" s="4" t="s">
        <v>197</v>
      </c>
      <c r="C60" s="4" t="s">
        <v>64</v>
      </c>
      <c r="D60" s="4" t="s">
        <v>81</v>
      </c>
      <c r="E60" s="4" t="s">
        <v>55</v>
      </c>
      <c r="F60" s="4" t="s">
        <v>56</v>
      </c>
      <c r="G60" s="4" t="s">
        <v>62</v>
      </c>
      <c r="H60" s="4">
        <v>36</v>
      </c>
      <c r="I60" s="5">
        <v>42276</v>
      </c>
      <c r="J60" s="9">
        <v>178700</v>
      </c>
    </row>
    <row r="61" spans="1:12" x14ac:dyDescent="0.35">
      <c r="A61" s="4" t="s">
        <v>198</v>
      </c>
      <c r="B61" s="4" t="s">
        <v>199</v>
      </c>
      <c r="C61" s="4" t="s">
        <v>200</v>
      </c>
      <c r="D61" s="4" t="s">
        <v>87</v>
      </c>
      <c r="E61" s="4" t="s">
        <v>55</v>
      </c>
      <c r="F61" s="4" t="s">
        <v>56</v>
      </c>
      <c r="G61" s="4" t="s">
        <v>67</v>
      </c>
      <c r="H61" s="4">
        <v>33</v>
      </c>
      <c r="I61" s="5">
        <v>43456</v>
      </c>
      <c r="J61" s="9">
        <v>83990</v>
      </c>
    </row>
    <row r="62" spans="1:12" x14ac:dyDescent="0.35">
      <c r="A62" s="4" t="s">
        <v>201</v>
      </c>
      <c r="B62" s="4" t="s">
        <v>202</v>
      </c>
      <c r="C62" s="4" t="s">
        <v>203</v>
      </c>
      <c r="D62" s="4" t="s">
        <v>87</v>
      </c>
      <c r="E62" s="4" t="s">
        <v>75</v>
      </c>
      <c r="F62" s="4" t="s">
        <v>56</v>
      </c>
      <c r="G62" s="4" t="s">
        <v>67</v>
      </c>
      <c r="H62" s="4">
        <v>52</v>
      </c>
      <c r="I62" s="5">
        <v>38696</v>
      </c>
      <c r="J62" s="9">
        <v>102043</v>
      </c>
    </row>
    <row r="63" spans="1:12" x14ac:dyDescent="0.35">
      <c r="A63" s="4" t="s">
        <v>204</v>
      </c>
      <c r="B63" s="4" t="s">
        <v>205</v>
      </c>
      <c r="C63" s="4" t="s">
        <v>206</v>
      </c>
      <c r="D63" s="4" t="s">
        <v>87</v>
      </c>
      <c r="E63" s="4" t="s">
        <v>60</v>
      </c>
      <c r="F63" s="4" t="s">
        <v>56</v>
      </c>
      <c r="G63" s="4" t="s">
        <v>62</v>
      </c>
      <c r="H63" s="4">
        <v>46</v>
      </c>
      <c r="I63" s="5">
        <v>37041</v>
      </c>
      <c r="J63" s="9">
        <v>90678</v>
      </c>
    </row>
    <row r="64" spans="1:12" x14ac:dyDescent="0.35">
      <c r="A64" s="4" t="s">
        <v>207</v>
      </c>
      <c r="B64" s="4" t="s">
        <v>208</v>
      </c>
      <c r="C64" s="4" t="s">
        <v>209</v>
      </c>
      <c r="D64" s="4" t="s">
        <v>84</v>
      </c>
      <c r="E64" s="4" t="s">
        <v>60</v>
      </c>
      <c r="F64" s="4" t="s">
        <v>56</v>
      </c>
      <c r="G64" s="4" t="s">
        <v>57</v>
      </c>
      <c r="H64" s="4">
        <v>46</v>
      </c>
      <c r="I64" s="5">
        <v>39681</v>
      </c>
      <c r="J64" s="9">
        <v>59067</v>
      </c>
    </row>
    <row r="65" spans="1:10" x14ac:dyDescent="0.35">
      <c r="A65" s="4" t="s">
        <v>210</v>
      </c>
      <c r="B65" s="4" t="s">
        <v>211</v>
      </c>
      <c r="C65" s="4" t="s">
        <v>53</v>
      </c>
      <c r="D65" s="4" t="s">
        <v>93</v>
      </c>
      <c r="E65" s="4" t="s">
        <v>55</v>
      </c>
      <c r="F65" s="4" t="s">
        <v>61</v>
      </c>
      <c r="G65" s="4" t="s">
        <v>62</v>
      </c>
      <c r="H65" s="4">
        <v>45</v>
      </c>
      <c r="I65" s="5">
        <v>44266</v>
      </c>
      <c r="J65" s="9">
        <v>135062</v>
      </c>
    </row>
    <row r="66" spans="1:10" x14ac:dyDescent="0.35">
      <c r="A66" s="4" t="s">
        <v>212</v>
      </c>
      <c r="B66" s="4" t="s">
        <v>213</v>
      </c>
      <c r="C66" s="4" t="s">
        <v>53</v>
      </c>
      <c r="D66" s="4" t="s">
        <v>54</v>
      </c>
      <c r="E66" s="4" t="s">
        <v>75</v>
      </c>
      <c r="F66" s="4" t="s">
        <v>56</v>
      </c>
      <c r="G66" s="4" t="s">
        <v>96</v>
      </c>
      <c r="H66" s="4">
        <v>55</v>
      </c>
      <c r="I66" s="5">
        <v>38945</v>
      </c>
      <c r="J66" s="9">
        <v>159044</v>
      </c>
    </row>
    <row r="67" spans="1:10" x14ac:dyDescent="0.35">
      <c r="A67" s="4" t="s">
        <v>214</v>
      </c>
      <c r="B67" s="4" t="s">
        <v>215</v>
      </c>
      <c r="C67" s="4" t="s">
        <v>71</v>
      </c>
      <c r="D67" s="4" t="s">
        <v>81</v>
      </c>
      <c r="E67" s="4" t="s">
        <v>60</v>
      </c>
      <c r="F67" s="4" t="s">
        <v>56</v>
      </c>
      <c r="G67" s="4" t="s">
        <v>96</v>
      </c>
      <c r="H67" s="4">
        <v>44</v>
      </c>
      <c r="I67" s="5">
        <v>43467</v>
      </c>
      <c r="J67" s="9">
        <v>74691</v>
      </c>
    </row>
    <row r="68" spans="1:10" x14ac:dyDescent="0.35">
      <c r="A68" s="4" t="s">
        <v>216</v>
      </c>
      <c r="B68" s="4" t="s">
        <v>217</v>
      </c>
      <c r="C68" s="4" t="s">
        <v>109</v>
      </c>
      <c r="D68" s="4" t="s">
        <v>87</v>
      </c>
      <c r="E68" s="4" t="s">
        <v>75</v>
      </c>
      <c r="F68" s="4" t="s">
        <v>56</v>
      </c>
      <c r="G68" s="4" t="s">
        <v>96</v>
      </c>
      <c r="H68" s="4">
        <v>44</v>
      </c>
      <c r="I68" s="5">
        <v>39800</v>
      </c>
      <c r="J68" s="9">
        <v>92753</v>
      </c>
    </row>
    <row r="69" spans="1:10" x14ac:dyDescent="0.35">
      <c r="A69" s="4" t="s">
        <v>218</v>
      </c>
      <c r="B69" s="4" t="s">
        <v>219</v>
      </c>
      <c r="C69" s="4" t="s">
        <v>92</v>
      </c>
      <c r="D69" s="4" t="s">
        <v>84</v>
      </c>
      <c r="E69" s="4" t="s">
        <v>66</v>
      </c>
      <c r="F69" s="4" t="s">
        <v>61</v>
      </c>
      <c r="G69" s="4" t="s">
        <v>57</v>
      </c>
      <c r="H69" s="4">
        <v>45</v>
      </c>
      <c r="I69" s="5">
        <v>41493</v>
      </c>
      <c r="J69" s="9">
        <v>236946</v>
      </c>
    </row>
    <row r="70" spans="1:10" x14ac:dyDescent="0.35">
      <c r="A70" s="4" t="s">
        <v>220</v>
      </c>
      <c r="B70" s="4" t="s">
        <v>221</v>
      </c>
      <c r="C70" s="4" t="s">
        <v>79</v>
      </c>
      <c r="D70" s="4" t="s">
        <v>65</v>
      </c>
      <c r="E70" s="4" t="s">
        <v>75</v>
      </c>
      <c r="F70" s="4" t="s">
        <v>56</v>
      </c>
      <c r="G70" s="4" t="s">
        <v>57</v>
      </c>
      <c r="H70" s="4">
        <v>36</v>
      </c>
      <c r="I70" s="5">
        <v>44435</v>
      </c>
      <c r="J70" s="9">
        <v>48906</v>
      </c>
    </row>
    <row r="71" spans="1:10" x14ac:dyDescent="0.35">
      <c r="A71" s="4" t="s">
        <v>222</v>
      </c>
      <c r="B71" s="4" t="s">
        <v>223</v>
      </c>
      <c r="C71" s="4" t="s">
        <v>71</v>
      </c>
      <c r="D71" s="4" t="s">
        <v>74</v>
      </c>
      <c r="E71" s="4" t="s">
        <v>75</v>
      </c>
      <c r="F71" s="4" t="s">
        <v>56</v>
      </c>
      <c r="G71" s="4" t="s">
        <v>67</v>
      </c>
      <c r="H71" s="4">
        <v>38</v>
      </c>
      <c r="I71" s="5">
        <v>39474</v>
      </c>
      <c r="J71" s="9">
        <v>80024</v>
      </c>
    </row>
    <row r="72" spans="1:10" x14ac:dyDescent="0.35">
      <c r="A72" s="4" t="s">
        <v>224</v>
      </c>
      <c r="B72" s="4" t="s">
        <v>225</v>
      </c>
      <c r="C72" s="4" t="s">
        <v>189</v>
      </c>
      <c r="D72" s="4" t="s">
        <v>84</v>
      </c>
      <c r="E72" s="4" t="s">
        <v>66</v>
      </c>
      <c r="F72" s="4" t="s">
        <v>56</v>
      </c>
      <c r="G72" s="4" t="s">
        <v>67</v>
      </c>
      <c r="H72" s="4">
        <v>41</v>
      </c>
      <c r="I72" s="5">
        <v>40109</v>
      </c>
      <c r="J72" s="9">
        <v>54415</v>
      </c>
    </row>
    <row r="73" spans="1:10" x14ac:dyDescent="0.35">
      <c r="A73" s="4" t="s">
        <v>226</v>
      </c>
      <c r="B73" s="4" t="s">
        <v>227</v>
      </c>
      <c r="C73" s="4" t="s">
        <v>77</v>
      </c>
      <c r="D73" s="4" t="s">
        <v>93</v>
      </c>
      <c r="E73" s="4" t="s">
        <v>55</v>
      </c>
      <c r="F73" s="4" t="s">
        <v>56</v>
      </c>
      <c r="G73" s="4" t="s">
        <v>62</v>
      </c>
      <c r="H73" s="4">
        <v>30</v>
      </c>
      <c r="I73" s="5">
        <v>42484</v>
      </c>
      <c r="J73" s="9">
        <v>120341</v>
      </c>
    </row>
    <row r="74" spans="1:10" x14ac:dyDescent="0.35">
      <c r="A74" s="4" t="s">
        <v>228</v>
      </c>
      <c r="B74" s="4" t="s">
        <v>229</v>
      </c>
      <c r="C74" s="4" t="s">
        <v>92</v>
      </c>
      <c r="D74" s="4" t="s">
        <v>54</v>
      </c>
      <c r="E74" s="4" t="s">
        <v>66</v>
      </c>
      <c r="F74" s="4" t="s">
        <v>56</v>
      </c>
      <c r="G74" s="4" t="s">
        <v>96</v>
      </c>
      <c r="H74" s="4">
        <v>43</v>
      </c>
      <c r="I74" s="5">
        <v>40029</v>
      </c>
      <c r="J74" s="9">
        <v>208415</v>
      </c>
    </row>
    <row r="75" spans="1:10" x14ac:dyDescent="0.35">
      <c r="A75" s="4" t="s">
        <v>230</v>
      </c>
      <c r="B75" s="4" t="s">
        <v>231</v>
      </c>
      <c r="C75" s="4" t="s">
        <v>232</v>
      </c>
      <c r="D75" s="4" t="s">
        <v>54</v>
      </c>
      <c r="E75" s="4" t="s">
        <v>66</v>
      </c>
      <c r="F75" s="4" t="s">
        <v>56</v>
      </c>
      <c r="G75" s="4" t="s">
        <v>62</v>
      </c>
      <c r="H75" s="4">
        <v>32</v>
      </c>
      <c r="I75" s="5">
        <v>43835</v>
      </c>
      <c r="J75" s="9">
        <v>78844</v>
      </c>
    </row>
    <row r="76" spans="1:10" x14ac:dyDescent="0.35">
      <c r="A76" s="4" t="s">
        <v>233</v>
      </c>
      <c r="B76" s="4" t="s">
        <v>234</v>
      </c>
      <c r="C76" s="4" t="s">
        <v>200</v>
      </c>
      <c r="D76" s="4" t="s">
        <v>87</v>
      </c>
      <c r="E76" s="4" t="s">
        <v>60</v>
      </c>
      <c r="F76" s="4" t="s">
        <v>61</v>
      </c>
      <c r="G76" s="4" t="s">
        <v>67</v>
      </c>
      <c r="H76" s="4">
        <v>58</v>
      </c>
      <c r="I76" s="5">
        <v>37399</v>
      </c>
      <c r="J76" s="9">
        <v>76354</v>
      </c>
    </row>
    <row r="77" spans="1:10" x14ac:dyDescent="0.35">
      <c r="A77" s="4" t="s">
        <v>235</v>
      </c>
      <c r="B77" s="4" t="s">
        <v>236</v>
      </c>
      <c r="C77" s="4" t="s">
        <v>64</v>
      </c>
      <c r="D77" s="4" t="s">
        <v>65</v>
      </c>
      <c r="E77" s="4" t="s">
        <v>66</v>
      </c>
      <c r="F77" s="4" t="s">
        <v>56</v>
      </c>
      <c r="G77" s="4" t="s">
        <v>96</v>
      </c>
      <c r="H77" s="4">
        <v>37</v>
      </c>
      <c r="I77" s="5">
        <v>43493</v>
      </c>
      <c r="J77" s="9">
        <v>165927</v>
      </c>
    </row>
    <row r="78" spans="1:10" x14ac:dyDescent="0.35">
      <c r="A78" s="4" t="s">
        <v>237</v>
      </c>
      <c r="B78" s="4" t="s">
        <v>238</v>
      </c>
      <c r="C78" s="4" t="s">
        <v>77</v>
      </c>
      <c r="D78" s="4" t="s">
        <v>81</v>
      </c>
      <c r="E78" s="4" t="s">
        <v>66</v>
      </c>
      <c r="F78" s="4" t="s">
        <v>56</v>
      </c>
      <c r="G78" s="4" t="s">
        <v>96</v>
      </c>
      <c r="H78" s="4">
        <v>38</v>
      </c>
      <c r="I78" s="5">
        <v>44516</v>
      </c>
      <c r="J78" s="9">
        <v>109812</v>
      </c>
    </row>
    <row r="79" spans="1:10" x14ac:dyDescent="0.35">
      <c r="A79" s="4" t="s">
        <v>239</v>
      </c>
      <c r="B79" s="4" t="s">
        <v>240</v>
      </c>
      <c r="C79" s="4" t="s">
        <v>86</v>
      </c>
      <c r="D79" s="4" t="s">
        <v>87</v>
      </c>
      <c r="E79" s="4" t="s">
        <v>75</v>
      </c>
      <c r="F79" s="4" t="s">
        <v>61</v>
      </c>
      <c r="G79" s="4" t="s">
        <v>62</v>
      </c>
      <c r="H79" s="4">
        <v>55</v>
      </c>
      <c r="I79" s="5">
        <v>36041</v>
      </c>
      <c r="J79" s="9">
        <v>86299</v>
      </c>
    </row>
    <row r="80" spans="1:10" x14ac:dyDescent="0.35">
      <c r="A80" s="4" t="s">
        <v>241</v>
      </c>
      <c r="B80" s="4" t="s">
        <v>242</v>
      </c>
      <c r="C80" s="4" t="s">
        <v>92</v>
      </c>
      <c r="D80" s="4" t="s">
        <v>93</v>
      </c>
      <c r="E80" s="4" t="s">
        <v>55</v>
      </c>
      <c r="F80" s="4" t="s">
        <v>61</v>
      </c>
      <c r="G80" s="4" t="s">
        <v>96</v>
      </c>
      <c r="H80" s="4">
        <v>57</v>
      </c>
      <c r="I80" s="5">
        <v>37828</v>
      </c>
      <c r="J80" s="9">
        <v>206624</v>
      </c>
    </row>
    <row r="81" spans="1:10" x14ac:dyDescent="0.35">
      <c r="A81" s="4" t="s">
        <v>243</v>
      </c>
      <c r="B81" s="4" t="s">
        <v>244</v>
      </c>
      <c r="C81" s="4" t="s">
        <v>112</v>
      </c>
      <c r="D81" s="4" t="s">
        <v>54</v>
      </c>
      <c r="E81" s="4" t="s">
        <v>60</v>
      </c>
      <c r="F81" s="4" t="s">
        <v>61</v>
      </c>
      <c r="G81" s="4" t="s">
        <v>96</v>
      </c>
      <c r="H81" s="4">
        <v>36</v>
      </c>
      <c r="I81" s="5">
        <v>40535</v>
      </c>
      <c r="J81" s="9">
        <v>53215</v>
      </c>
    </row>
    <row r="82" spans="1:10" x14ac:dyDescent="0.35">
      <c r="A82" s="4" t="s">
        <v>245</v>
      </c>
      <c r="B82" s="4" t="s">
        <v>246</v>
      </c>
      <c r="C82" s="4" t="s">
        <v>247</v>
      </c>
      <c r="D82" s="4" t="s">
        <v>87</v>
      </c>
      <c r="E82" s="4" t="s">
        <v>55</v>
      </c>
      <c r="F82" s="4" t="s">
        <v>56</v>
      </c>
      <c r="G82" s="4" t="s">
        <v>62</v>
      </c>
      <c r="H82" s="4">
        <v>30</v>
      </c>
      <c r="I82" s="5">
        <v>42877</v>
      </c>
      <c r="J82" s="9">
        <v>86858</v>
      </c>
    </row>
    <row r="83" spans="1:10" x14ac:dyDescent="0.35">
      <c r="A83" s="4" t="s">
        <v>248</v>
      </c>
      <c r="B83" s="4" t="s">
        <v>249</v>
      </c>
      <c r="C83" s="4" t="s">
        <v>69</v>
      </c>
      <c r="D83" s="4" t="s">
        <v>54</v>
      </c>
      <c r="E83" s="4" t="s">
        <v>60</v>
      </c>
      <c r="F83" s="4" t="s">
        <v>61</v>
      </c>
      <c r="G83" s="4" t="s">
        <v>62</v>
      </c>
      <c r="H83" s="4">
        <v>40</v>
      </c>
      <c r="I83" s="5">
        <v>39265</v>
      </c>
      <c r="J83" s="9">
        <v>93971</v>
      </c>
    </row>
    <row r="84" spans="1:10" x14ac:dyDescent="0.35">
      <c r="A84" s="4" t="s">
        <v>250</v>
      </c>
      <c r="B84" s="4" t="s">
        <v>251</v>
      </c>
      <c r="C84" s="4" t="s">
        <v>115</v>
      </c>
      <c r="D84" s="4" t="s">
        <v>65</v>
      </c>
      <c r="E84" s="4" t="s">
        <v>75</v>
      </c>
      <c r="F84" s="4" t="s">
        <v>61</v>
      </c>
      <c r="G84" s="4" t="s">
        <v>96</v>
      </c>
      <c r="H84" s="4">
        <v>34</v>
      </c>
      <c r="I84" s="5">
        <v>42182</v>
      </c>
      <c r="J84" s="9">
        <v>57008</v>
      </c>
    </row>
    <row r="85" spans="1:10" x14ac:dyDescent="0.35">
      <c r="A85" s="4" t="s">
        <v>252</v>
      </c>
      <c r="B85" s="4" t="s">
        <v>253</v>
      </c>
      <c r="C85" s="4" t="s">
        <v>53</v>
      </c>
      <c r="D85" s="4" t="s">
        <v>65</v>
      </c>
      <c r="E85" s="4" t="s">
        <v>60</v>
      </c>
      <c r="F85" s="4" t="s">
        <v>61</v>
      </c>
      <c r="G85" s="4" t="s">
        <v>96</v>
      </c>
      <c r="H85" s="4">
        <v>60</v>
      </c>
      <c r="I85" s="5">
        <v>42270</v>
      </c>
      <c r="J85" s="9">
        <v>141899</v>
      </c>
    </row>
    <row r="86" spans="1:10" x14ac:dyDescent="0.35">
      <c r="A86" s="4" t="s">
        <v>254</v>
      </c>
      <c r="B86" s="4" t="s">
        <v>255</v>
      </c>
      <c r="C86" s="4" t="s">
        <v>115</v>
      </c>
      <c r="D86" s="4" t="s">
        <v>93</v>
      </c>
      <c r="E86" s="4" t="s">
        <v>75</v>
      </c>
      <c r="F86" s="4" t="s">
        <v>61</v>
      </c>
      <c r="G86" s="4" t="s">
        <v>57</v>
      </c>
      <c r="H86" s="4">
        <v>41</v>
      </c>
      <c r="I86" s="5">
        <v>42626</v>
      </c>
      <c r="J86" s="9">
        <v>64847</v>
      </c>
    </row>
    <row r="87" spans="1:10" x14ac:dyDescent="0.35">
      <c r="A87" s="4" t="s">
        <v>256</v>
      </c>
      <c r="B87" s="4" t="s">
        <v>257</v>
      </c>
      <c r="C87" s="4" t="s">
        <v>109</v>
      </c>
      <c r="D87" s="4" t="s">
        <v>87</v>
      </c>
      <c r="E87" s="4" t="s">
        <v>55</v>
      </c>
      <c r="F87" s="4" t="s">
        <v>61</v>
      </c>
      <c r="G87" s="4" t="s">
        <v>67</v>
      </c>
      <c r="H87" s="4">
        <v>53</v>
      </c>
      <c r="I87" s="5">
        <v>33702</v>
      </c>
      <c r="J87" s="9">
        <v>116878</v>
      </c>
    </row>
    <row r="88" spans="1:10" x14ac:dyDescent="0.35">
      <c r="A88" s="4" t="s">
        <v>258</v>
      </c>
      <c r="B88" s="4" t="s">
        <v>259</v>
      </c>
      <c r="C88" s="4" t="s">
        <v>106</v>
      </c>
      <c r="D88" s="4" t="s">
        <v>87</v>
      </c>
      <c r="E88" s="4" t="s">
        <v>66</v>
      </c>
      <c r="F88" s="4" t="s">
        <v>61</v>
      </c>
      <c r="G88" s="4" t="s">
        <v>57</v>
      </c>
      <c r="H88" s="4">
        <v>45</v>
      </c>
      <c r="I88" s="5">
        <v>38388</v>
      </c>
      <c r="J88" s="9">
        <v>70505</v>
      </c>
    </row>
    <row r="89" spans="1:10" x14ac:dyDescent="0.35">
      <c r="A89" s="4" t="s">
        <v>260</v>
      </c>
      <c r="B89" s="4" t="s">
        <v>261</v>
      </c>
      <c r="C89" s="4" t="s">
        <v>64</v>
      </c>
      <c r="D89" s="4" t="s">
        <v>87</v>
      </c>
      <c r="E89" s="4" t="s">
        <v>55</v>
      </c>
      <c r="F89" s="4" t="s">
        <v>56</v>
      </c>
      <c r="G89" s="4" t="s">
        <v>96</v>
      </c>
      <c r="H89" s="4">
        <v>30</v>
      </c>
      <c r="I89" s="5">
        <v>42512</v>
      </c>
      <c r="J89" s="9">
        <v>189702</v>
      </c>
    </row>
    <row r="90" spans="1:10" x14ac:dyDescent="0.35">
      <c r="A90" s="4" t="s">
        <v>262</v>
      </c>
      <c r="B90" s="4" t="s">
        <v>263</v>
      </c>
      <c r="C90" s="4" t="s">
        <v>64</v>
      </c>
      <c r="D90" s="4" t="s">
        <v>81</v>
      </c>
      <c r="E90" s="4" t="s">
        <v>66</v>
      </c>
      <c r="F90" s="4" t="s">
        <v>61</v>
      </c>
      <c r="G90" s="4" t="s">
        <v>67</v>
      </c>
      <c r="H90" s="4">
        <v>26</v>
      </c>
      <c r="I90" s="5">
        <v>44040</v>
      </c>
      <c r="J90" s="9">
        <v>180664</v>
      </c>
    </row>
    <row r="91" spans="1:10" x14ac:dyDescent="0.35">
      <c r="A91" s="4" t="s">
        <v>264</v>
      </c>
      <c r="B91" s="4" t="s">
        <v>265</v>
      </c>
      <c r="C91" s="4" t="s">
        <v>209</v>
      </c>
      <c r="D91" s="4" t="s">
        <v>84</v>
      </c>
      <c r="E91" s="4" t="s">
        <v>60</v>
      </c>
      <c r="F91" s="4" t="s">
        <v>56</v>
      </c>
      <c r="G91" s="4" t="s">
        <v>62</v>
      </c>
      <c r="H91" s="4">
        <v>45</v>
      </c>
      <c r="I91" s="5">
        <v>37972</v>
      </c>
      <c r="J91" s="9">
        <v>48345</v>
      </c>
    </row>
    <row r="92" spans="1:10" x14ac:dyDescent="0.35">
      <c r="A92" s="4" t="s">
        <v>266</v>
      </c>
      <c r="B92" s="4" t="s">
        <v>267</v>
      </c>
      <c r="C92" s="4" t="s">
        <v>64</v>
      </c>
      <c r="D92" s="4" t="s">
        <v>84</v>
      </c>
      <c r="E92" s="4" t="s">
        <v>60</v>
      </c>
      <c r="F92" s="4" t="s">
        <v>61</v>
      </c>
      <c r="G92" s="4" t="s">
        <v>62</v>
      </c>
      <c r="H92" s="4">
        <v>42</v>
      </c>
      <c r="I92" s="5">
        <v>41655</v>
      </c>
      <c r="J92" s="9">
        <v>152214</v>
      </c>
    </row>
    <row r="93" spans="1:10" x14ac:dyDescent="0.35">
      <c r="A93" s="4" t="s">
        <v>268</v>
      </c>
      <c r="B93" s="4" t="s">
        <v>269</v>
      </c>
      <c r="C93" s="4" t="s">
        <v>232</v>
      </c>
      <c r="D93" s="4" t="s">
        <v>54</v>
      </c>
      <c r="E93" s="4" t="s">
        <v>75</v>
      </c>
      <c r="F93" s="4" t="s">
        <v>56</v>
      </c>
      <c r="G93" s="4" t="s">
        <v>96</v>
      </c>
      <c r="H93" s="4">
        <v>41</v>
      </c>
      <c r="I93" s="5">
        <v>39931</v>
      </c>
      <c r="J93" s="9">
        <v>69803</v>
      </c>
    </row>
    <row r="94" spans="1:10" x14ac:dyDescent="0.35">
      <c r="A94" s="4" t="s">
        <v>270</v>
      </c>
      <c r="B94" s="4" t="s">
        <v>271</v>
      </c>
      <c r="C94" s="4" t="s">
        <v>272</v>
      </c>
      <c r="D94" s="4" t="s">
        <v>54</v>
      </c>
      <c r="E94" s="4" t="s">
        <v>75</v>
      </c>
      <c r="F94" s="4" t="s">
        <v>56</v>
      </c>
      <c r="G94" s="4" t="s">
        <v>96</v>
      </c>
      <c r="H94" s="4">
        <v>48</v>
      </c>
      <c r="I94" s="5">
        <v>43650</v>
      </c>
      <c r="J94" s="9">
        <v>76588</v>
      </c>
    </row>
    <row r="95" spans="1:10" x14ac:dyDescent="0.35">
      <c r="A95" s="4" t="s">
        <v>273</v>
      </c>
      <c r="B95" s="4" t="s">
        <v>274</v>
      </c>
      <c r="C95" s="4" t="s">
        <v>275</v>
      </c>
      <c r="D95" s="4" t="s">
        <v>54</v>
      </c>
      <c r="E95" s="4" t="s">
        <v>60</v>
      </c>
      <c r="F95" s="4" t="s">
        <v>61</v>
      </c>
      <c r="G95" s="4" t="s">
        <v>67</v>
      </c>
      <c r="H95" s="4">
        <v>29</v>
      </c>
      <c r="I95" s="5">
        <v>43444</v>
      </c>
      <c r="J95" s="9">
        <v>84596</v>
      </c>
    </row>
    <row r="96" spans="1:10" x14ac:dyDescent="0.35">
      <c r="A96" s="4" t="s">
        <v>276</v>
      </c>
      <c r="B96" s="4" t="s">
        <v>277</v>
      </c>
      <c r="C96" s="4" t="s">
        <v>77</v>
      </c>
      <c r="D96" s="4" t="s">
        <v>93</v>
      </c>
      <c r="E96" s="4" t="s">
        <v>55</v>
      </c>
      <c r="F96" s="4" t="s">
        <v>61</v>
      </c>
      <c r="G96" s="4" t="s">
        <v>62</v>
      </c>
      <c r="H96" s="4">
        <v>27</v>
      </c>
      <c r="I96" s="5">
        <v>43368</v>
      </c>
      <c r="J96" s="9">
        <v>114441</v>
      </c>
    </row>
    <row r="97" spans="1:10" x14ac:dyDescent="0.35">
      <c r="A97" s="4" t="s">
        <v>278</v>
      </c>
      <c r="B97" s="4" t="s">
        <v>279</v>
      </c>
      <c r="C97" s="4" t="s">
        <v>53</v>
      </c>
      <c r="D97" s="4" t="s">
        <v>65</v>
      </c>
      <c r="E97" s="4" t="s">
        <v>66</v>
      </c>
      <c r="F97" s="4" t="s">
        <v>56</v>
      </c>
      <c r="G97" s="4" t="s">
        <v>62</v>
      </c>
      <c r="H97" s="4">
        <v>33</v>
      </c>
      <c r="I97" s="5">
        <v>43211</v>
      </c>
      <c r="J97" s="9">
        <v>140402</v>
      </c>
    </row>
    <row r="98" spans="1:10" x14ac:dyDescent="0.35">
      <c r="A98" s="4" t="s">
        <v>280</v>
      </c>
      <c r="B98" s="4" t="s">
        <v>281</v>
      </c>
      <c r="C98" s="4" t="s">
        <v>115</v>
      </c>
      <c r="D98" s="4" t="s">
        <v>65</v>
      </c>
      <c r="E98" s="4" t="s">
        <v>75</v>
      </c>
      <c r="F98" s="4" t="s">
        <v>56</v>
      </c>
      <c r="G98" s="4" t="s">
        <v>96</v>
      </c>
      <c r="H98" s="4">
        <v>26</v>
      </c>
      <c r="I98" s="5">
        <v>43578</v>
      </c>
      <c r="J98" s="9">
        <v>59817</v>
      </c>
    </row>
    <row r="99" spans="1:10" x14ac:dyDescent="0.35">
      <c r="A99" s="4" t="s">
        <v>282</v>
      </c>
      <c r="B99" s="4" t="s">
        <v>283</v>
      </c>
      <c r="C99" s="4" t="s">
        <v>73</v>
      </c>
      <c r="D99" s="4" t="s">
        <v>74</v>
      </c>
      <c r="E99" s="4" t="s">
        <v>60</v>
      </c>
      <c r="F99" s="4" t="s">
        <v>61</v>
      </c>
      <c r="G99" s="4" t="s">
        <v>62</v>
      </c>
      <c r="H99" s="4">
        <v>31</v>
      </c>
      <c r="I99" s="5">
        <v>42938</v>
      </c>
      <c r="J99" s="9">
        <v>55854</v>
      </c>
    </row>
    <row r="100" spans="1:10" x14ac:dyDescent="0.35">
      <c r="A100" s="4" t="s">
        <v>284</v>
      </c>
      <c r="B100" s="4" t="s">
        <v>285</v>
      </c>
      <c r="C100" s="4" t="s">
        <v>125</v>
      </c>
      <c r="D100" s="4" t="s">
        <v>84</v>
      </c>
      <c r="E100" s="4" t="s">
        <v>55</v>
      </c>
      <c r="F100" s="4" t="s">
        <v>61</v>
      </c>
      <c r="G100" s="4" t="s">
        <v>62</v>
      </c>
      <c r="H100" s="4">
        <v>53</v>
      </c>
      <c r="I100" s="5">
        <v>37576</v>
      </c>
      <c r="J100" s="9">
        <v>95998</v>
      </c>
    </row>
    <row r="101" spans="1:10" x14ac:dyDescent="0.35">
      <c r="A101" s="4" t="s">
        <v>286</v>
      </c>
      <c r="B101" s="4" t="s">
        <v>287</v>
      </c>
      <c r="C101" s="4" t="s">
        <v>53</v>
      </c>
      <c r="D101" s="4" t="s">
        <v>74</v>
      </c>
      <c r="E101" s="4" t="s">
        <v>60</v>
      </c>
      <c r="F101" s="4" t="s">
        <v>56</v>
      </c>
      <c r="G101" s="4" t="s">
        <v>62</v>
      </c>
      <c r="H101" s="4">
        <v>34</v>
      </c>
      <c r="I101" s="5">
        <v>42116</v>
      </c>
      <c r="J101" s="9">
        <v>154941</v>
      </c>
    </row>
    <row r="102" spans="1:10" x14ac:dyDescent="0.35">
      <c r="A102" s="4" t="s">
        <v>288</v>
      </c>
      <c r="B102" s="4" t="s">
        <v>197</v>
      </c>
      <c r="C102" s="4" t="s">
        <v>92</v>
      </c>
      <c r="D102" s="4" t="s">
        <v>65</v>
      </c>
      <c r="E102" s="4" t="s">
        <v>66</v>
      </c>
      <c r="F102" s="4" t="s">
        <v>56</v>
      </c>
      <c r="G102" s="4" t="s">
        <v>62</v>
      </c>
      <c r="H102" s="4">
        <v>54</v>
      </c>
      <c r="I102" s="5">
        <v>40734</v>
      </c>
      <c r="J102" s="9">
        <v>247022</v>
      </c>
    </row>
    <row r="103" spans="1:10" x14ac:dyDescent="0.35">
      <c r="A103" s="4" t="s">
        <v>289</v>
      </c>
      <c r="B103" s="4" t="s">
        <v>290</v>
      </c>
      <c r="C103" s="4" t="s">
        <v>272</v>
      </c>
      <c r="D103" s="4" t="s">
        <v>54</v>
      </c>
      <c r="E103" s="4" t="s">
        <v>60</v>
      </c>
      <c r="F103" s="4" t="s">
        <v>56</v>
      </c>
      <c r="G103" s="4" t="s">
        <v>96</v>
      </c>
      <c r="H103" s="4">
        <v>32</v>
      </c>
      <c r="I103" s="5">
        <v>44474</v>
      </c>
      <c r="J103" s="9">
        <v>88072</v>
      </c>
    </row>
    <row r="104" spans="1:10" x14ac:dyDescent="0.35">
      <c r="A104" s="4" t="s">
        <v>291</v>
      </c>
      <c r="B104" s="4" t="s">
        <v>292</v>
      </c>
      <c r="C104" s="4" t="s">
        <v>69</v>
      </c>
      <c r="D104" s="4" t="s">
        <v>54</v>
      </c>
      <c r="E104" s="4" t="s">
        <v>55</v>
      </c>
      <c r="F104" s="4" t="s">
        <v>61</v>
      </c>
      <c r="G104" s="4" t="s">
        <v>62</v>
      </c>
      <c r="H104" s="4">
        <v>28</v>
      </c>
      <c r="I104" s="5">
        <v>43977</v>
      </c>
      <c r="J104" s="9">
        <v>67925</v>
      </c>
    </row>
  </sheetData>
  <mergeCells count="1">
    <mergeCell ref="A1:D1"/>
  </mergeCells>
  <dataValidations count="1">
    <dataValidation type="list" allowBlank="1" showInputMessage="1" showErrorMessage="1" sqref="L29" xr:uid="{2A5CE8BC-D3DD-4DE3-906C-D9E0FC6794AE}">
      <formula1>$A$6:$A$104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50F61-22F3-4A03-AEFB-6E83DE1AF5DA}">
  <dimension ref="B2:D10"/>
  <sheetViews>
    <sheetView workbookViewId="0">
      <selection activeCell="B2" sqref="B2:D10"/>
    </sheetView>
  </sheetViews>
  <sheetFormatPr defaultRowHeight="14.5" x14ac:dyDescent="0.35"/>
  <cols>
    <col min="2" max="2" width="11.7265625" customWidth="1"/>
  </cols>
  <sheetData>
    <row r="2" spans="2:4" x14ac:dyDescent="0.35">
      <c r="B2" t="s">
        <v>314</v>
      </c>
      <c r="C2" t="s">
        <v>33</v>
      </c>
      <c r="D2" t="s">
        <v>313</v>
      </c>
    </row>
    <row r="3" spans="2:4" x14ac:dyDescent="0.35">
      <c r="B3" t="s">
        <v>297</v>
      </c>
      <c r="C3" t="s">
        <v>305</v>
      </c>
      <c r="D3">
        <v>76343</v>
      </c>
    </row>
    <row r="4" spans="2:4" x14ac:dyDescent="0.35">
      <c r="B4" t="s">
        <v>298</v>
      </c>
      <c r="C4" t="s">
        <v>306</v>
      </c>
      <c r="D4">
        <v>680</v>
      </c>
    </row>
    <row r="5" spans="2:4" x14ac:dyDescent="0.35">
      <c r="B5" t="s">
        <v>299</v>
      </c>
      <c r="C5" t="s">
        <v>307</v>
      </c>
      <c r="D5">
        <v>74798</v>
      </c>
    </row>
    <row r="6" spans="2:4" x14ac:dyDescent="0.35">
      <c r="B6" t="s">
        <v>300</v>
      </c>
      <c r="C6" t="s">
        <v>308</v>
      </c>
      <c r="D6">
        <v>59912</v>
      </c>
    </row>
    <row r="7" spans="2:4" x14ac:dyDescent="0.35">
      <c r="B7" t="s">
        <v>301</v>
      </c>
      <c r="C7" t="s">
        <v>309</v>
      </c>
      <c r="D7">
        <v>59154</v>
      </c>
    </row>
    <row r="8" spans="2:4" x14ac:dyDescent="0.35">
      <c r="B8" t="s">
        <v>302</v>
      </c>
      <c r="C8" t="s">
        <v>310</v>
      </c>
      <c r="D8">
        <v>497</v>
      </c>
    </row>
    <row r="9" spans="2:4" x14ac:dyDescent="0.35">
      <c r="B9" t="s">
        <v>303</v>
      </c>
      <c r="C9" t="s">
        <v>311</v>
      </c>
      <c r="D9">
        <v>475</v>
      </c>
    </row>
    <row r="10" spans="2:4" x14ac:dyDescent="0.35">
      <c r="B10" t="s">
        <v>304</v>
      </c>
      <c r="C10" t="s">
        <v>312</v>
      </c>
      <c r="D10">
        <v>64815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FA606-50DF-4650-A5E6-E48F94D93CAE}">
  <dimension ref="B2:G22"/>
  <sheetViews>
    <sheetView tabSelected="1" workbookViewId="0">
      <selection activeCell="K9" sqref="K9"/>
    </sheetView>
  </sheetViews>
  <sheetFormatPr defaultRowHeight="14.5" x14ac:dyDescent="0.35"/>
  <cols>
    <col min="2" max="2" width="10" customWidth="1"/>
    <col min="3" max="3" width="11.7265625" customWidth="1"/>
    <col min="4" max="4" width="10.1796875" customWidth="1"/>
    <col min="5" max="5" width="16" bestFit="1" customWidth="1"/>
    <col min="6" max="6" width="20.08984375" bestFit="1" customWidth="1"/>
    <col min="7" max="7" width="15.90625" bestFit="1" customWidth="1"/>
  </cols>
  <sheetData>
    <row r="2" spans="2:7" x14ac:dyDescent="0.35">
      <c r="B2" t="s">
        <v>315</v>
      </c>
      <c r="C2" t="s">
        <v>314</v>
      </c>
      <c r="D2" t="s">
        <v>336</v>
      </c>
      <c r="E2" t="s">
        <v>337</v>
      </c>
      <c r="F2" t="s">
        <v>338</v>
      </c>
      <c r="G2" t="s">
        <v>339</v>
      </c>
    </row>
    <row r="3" spans="2:7" x14ac:dyDescent="0.35">
      <c r="B3" t="s">
        <v>316</v>
      </c>
      <c r="C3" t="s">
        <v>298</v>
      </c>
      <c r="D3">
        <f ca="1">RANDBETWEEN(1,5)</f>
        <v>2</v>
      </c>
      <c r="E3">
        <f>VLOOKUP(Table3[[#This Row],[Product ID]],Table2[],3)</f>
        <v>680</v>
      </c>
      <c r="F3">
        <f>INDEX(Table2[Price],MATCH(Table3[[#This Row],[Product ID]],Table2[Product ID]))</f>
        <v>680</v>
      </c>
      <c r="G3">
        <f>_xlfn.XLOOKUP(Table3[[#This Row],[Product ID]],Table2[Product ID],Table2[Price])</f>
        <v>680</v>
      </c>
    </row>
    <row r="4" spans="2:7" x14ac:dyDescent="0.35">
      <c r="B4" t="s">
        <v>317</v>
      </c>
      <c r="C4" t="s">
        <v>304</v>
      </c>
      <c r="D4">
        <f t="shared" ref="D4:D22" ca="1" si="0">RANDBETWEEN(1,5)</f>
        <v>1</v>
      </c>
      <c r="E4">
        <f>VLOOKUP(Table3[[#This Row],[Product ID]],Table2[],3)</f>
        <v>64815</v>
      </c>
      <c r="F4">
        <f>INDEX(Table2[Price],MATCH(Table3[[#This Row],[Product ID]],Table2[Product ID]))</f>
        <v>64815</v>
      </c>
      <c r="G4">
        <f>_xlfn.XLOOKUP(Table3[[#This Row],[Product ID]],Table2[Product ID],Table2[Price])</f>
        <v>64815</v>
      </c>
    </row>
    <row r="5" spans="2:7" x14ac:dyDescent="0.35">
      <c r="B5" t="s">
        <v>318</v>
      </c>
      <c r="C5" t="s">
        <v>301</v>
      </c>
      <c r="D5">
        <f t="shared" ca="1" si="0"/>
        <v>3</v>
      </c>
      <c r="E5">
        <f>VLOOKUP(Table3[[#This Row],[Product ID]],Table2[],3)</f>
        <v>59154</v>
      </c>
      <c r="F5">
        <f>INDEX(Table2[Price],MATCH(Table3[[#This Row],[Product ID]],Table2[Product ID]))</f>
        <v>59154</v>
      </c>
      <c r="G5">
        <f>_xlfn.XLOOKUP(Table3[[#This Row],[Product ID]],Table2[Product ID],Table2[Price])</f>
        <v>59154</v>
      </c>
    </row>
    <row r="6" spans="2:7" x14ac:dyDescent="0.35">
      <c r="B6" t="s">
        <v>319</v>
      </c>
      <c r="C6" t="s">
        <v>298</v>
      </c>
      <c r="D6">
        <f t="shared" ca="1" si="0"/>
        <v>1</v>
      </c>
      <c r="E6">
        <f>VLOOKUP(Table3[[#This Row],[Product ID]],Table2[],3)</f>
        <v>680</v>
      </c>
      <c r="F6">
        <f>INDEX(Table2[Price],MATCH(Table3[[#This Row],[Product ID]],Table2[Product ID]))</f>
        <v>680</v>
      </c>
      <c r="G6">
        <f>_xlfn.XLOOKUP(Table3[[#This Row],[Product ID]],Table2[Product ID],Table2[Price])</f>
        <v>680</v>
      </c>
    </row>
    <row r="7" spans="2:7" x14ac:dyDescent="0.35">
      <c r="B7" t="s">
        <v>320</v>
      </c>
      <c r="C7" t="s">
        <v>299</v>
      </c>
      <c r="D7">
        <f t="shared" ca="1" si="0"/>
        <v>3</v>
      </c>
      <c r="E7">
        <f>VLOOKUP(Table3[[#This Row],[Product ID]],Table2[],3)</f>
        <v>74798</v>
      </c>
      <c r="F7">
        <f>INDEX(Table2[Price],MATCH(Table3[[#This Row],[Product ID]],Table2[Product ID]))</f>
        <v>74798</v>
      </c>
      <c r="G7">
        <f>_xlfn.XLOOKUP(Table3[[#This Row],[Product ID]],Table2[Product ID],Table2[Price])</f>
        <v>74798</v>
      </c>
    </row>
    <row r="8" spans="2:7" x14ac:dyDescent="0.35">
      <c r="B8" t="s">
        <v>321</v>
      </c>
      <c r="C8" t="s">
        <v>297</v>
      </c>
      <c r="D8">
        <f t="shared" ca="1" si="0"/>
        <v>3</v>
      </c>
      <c r="E8">
        <f>VLOOKUP(Table3[[#This Row],[Product ID]],Table2[],3)</f>
        <v>76343</v>
      </c>
      <c r="F8">
        <f>INDEX(Table2[Price],MATCH(Table3[[#This Row],[Product ID]],Table2[Product ID]))</f>
        <v>76343</v>
      </c>
      <c r="G8">
        <f>_xlfn.XLOOKUP(Table3[[#This Row],[Product ID]],Table2[Product ID],Table2[Price])</f>
        <v>76343</v>
      </c>
    </row>
    <row r="9" spans="2:7" x14ac:dyDescent="0.35">
      <c r="B9" t="s">
        <v>322</v>
      </c>
      <c r="C9" t="s">
        <v>302</v>
      </c>
      <c r="D9">
        <f t="shared" ca="1" si="0"/>
        <v>2</v>
      </c>
      <c r="E9">
        <f>VLOOKUP(Table3[[#This Row],[Product ID]],Table2[],3)</f>
        <v>497</v>
      </c>
      <c r="F9">
        <f>INDEX(Table2[Price],MATCH(Table3[[#This Row],[Product ID]],Table2[Product ID]))</f>
        <v>497</v>
      </c>
      <c r="G9">
        <f>_xlfn.XLOOKUP(Table3[[#This Row],[Product ID]],Table2[Product ID],Table2[Price])</f>
        <v>497</v>
      </c>
    </row>
    <row r="10" spans="2:7" x14ac:dyDescent="0.35">
      <c r="B10" t="s">
        <v>323</v>
      </c>
      <c r="C10" t="s">
        <v>303</v>
      </c>
      <c r="D10">
        <f t="shared" ca="1" si="0"/>
        <v>2</v>
      </c>
      <c r="E10">
        <f>VLOOKUP(Table3[[#This Row],[Product ID]],Table2[],3)</f>
        <v>475</v>
      </c>
      <c r="F10">
        <f>INDEX(Table2[Price],MATCH(Table3[[#This Row],[Product ID]],Table2[Product ID]))</f>
        <v>475</v>
      </c>
      <c r="G10">
        <f>_xlfn.XLOOKUP(Table3[[#This Row],[Product ID]],Table2[Product ID],Table2[Price])</f>
        <v>475</v>
      </c>
    </row>
    <row r="11" spans="2:7" x14ac:dyDescent="0.35">
      <c r="B11" t="s">
        <v>324</v>
      </c>
      <c r="C11" t="s">
        <v>300</v>
      </c>
      <c r="D11">
        <f t="shared" ca="1" si="0"/>
        <v>3</v>
      </c>
      <c r="E11">
        <f>VLOOKUP(Table3[[#This Row],[Product ID]],Table2[],3)</f>
        <v>59912</v>
      </c>
      <c r="F11">
        <f>INDEX(Table2[Price],MATCH(Table3[[#This Row],[Product ID]],Table2[Product ID]))</f>
        <v>59912</v>
      </c>
      <c r="G11">
        <f>_xlfn.XLOOKUP(Table3[[#This Row],[Product ID]],Table2[Product ID],Table2[Price])</f>
        <v>59912</v>
      </c>
    </row>
    <row r="12" spans="2:7" x14ac:dyDescent="0.35">
      <c r="B12" t="s">
        <v>325</v>
      </c>
      <c r="C12" t="s">
        <v>300</v>
      </c>
      <c r="D12">
        <f t="shared" ca="1" si="0"/>
        <v>2</v>
      </c>
      <c r="E12">
        <f>VLOOKUP(Table3[[#This Row],[Product ID]],Table2[],3)</f>
        <v>59912</v>
      </c>
      <c r="F12">
        <f>INDEX(Table2[Price],MATCH(Table3[[#This Row],[Product ID]],Table2[Product ID]))</f>
        <v>59912</v>
      </c>
      <c r="G12">
        <f>_xlfn.XLOOKUP(Table3[[#This Row],[Product ID]],Table2[Product ID],Table2[Price])</f>
        <v>59912</v>
      </c>
    </row>
    <row r="13" spans="2:7" x14ac:dyDescent="0.35">
      <c r="B13" t="s">
        <v>326</v>
      </c>
      <c r="C13" t="s">
        <v>297</v>
      </c>
      <c r="D13">
        <f t="shared" ca="1" si="0"/>
        <v>2</v>
      </c>
      <c r="E13">
        <f>VLOOKUP(Table3[[#This Row],[Product ID]],Table2[],3)</f>
        <v>76343</v>
      </c>
      <c r="F13">
        <f>INDEX(Table2[Price],MATCH(Table3[[#This Row],[Product ID]],Table2[Product ID]))</f>
        <v>76343</v>
      </c>
      <c r="G13">
        <f>_xlfn.XLOOKUP(Table3[[#This Row],[Product ID]],Table2[Product ID],Table2[Price])</f>
        <v>76343</v>
      </c>
    </row>
    <row r="14" spans="2:7" x14ac:dyDescent="0.35">
      <c r="B14" t="s">
        <v>327</v>
      </c>
      <c r="C14" t="s">
        <v>300</v>
      </c>
      <c r="D14">
        <f t="shared" ca="1" si="0"/>
        <v>1</v>
      </c>
      <c r="E14">
        <f>VLOOKUP(Table3[[#This Row],[Product ID]],Table2[],3)</f>
        <v>59912</v>
      </c>
      <c r="F14">
        <f>INDEX(Table2[Price],MATCH(Table3[[#This Row],[Product ID]],Table2[Product ID]))</f>
        <v>59912</v>
      </c>
      <c r="G14">
        <f>_xlfn.XLOOKUP(Table3[[#This Row],[Product ID]],Table2[Product ID],Table2[Price])</f>
        <v>59912</v>
      </c>
    </row>
    <row r="15" spans="2:7" x14ac:dyDescent="0.35">
      <c r="B15" t="s">
        <v>328</v>
      </c>
      <c r="C15" t="s">
        <v>304</v>
      </c>
      <c r="D15">
        <f t="shared" ca="1" si="0"/>
        <v>5</v>
      </c>
      <c r="E15">
        <f>VLOOKUP(Table3[[#This Row],[Product ID]],Table2[],3)</f>
        <v>64815</v>
      </c>
      <c r="F15">
        <f>INDEX(Table2[Price],MATCH(Table3[[#This Row],[Product ID]],Table2[Product ID]))</f>
        <v>64815</v>
      </c>
      <c r="G15">
        <f>_xlfn.XLOOKUP(Table3[[#This Row],[Product ID]],Table2[Product ID],Table2[Price])</f>
        <v>64815</v>
      </c>
    </row>
    <row r="16" spans="2:7" x14ac:dyDescent="0.35">
      <c r="B16" t="s">
        <v>329</v>
      </c>
      <c r="C16" t="s">
        <v>301</v>
      </c>
      <c r="D16">
        <f t="shared" ca="1" si="0"/>
        <v>1</v>
      </c>
      <c r="E16">
        <f>VLOOKUP(Table3[[#This Row],[Product ID]],Table2[],3)</f>
        <v>59154</v>
      </c>
      <c r="F16">
        <f>INDEX(Table2[Price],MATCH(Table3[[#This Row],[Product ID]],Table2[Product ID]))</f>
        <v>59154</v>
      </c>
      <c r="G16">
        <f>_xlfn.XLOOKUP(Table3[[#This Row],[Product ID]],Table2[Product ID],Table2[Price])</f>
        <v>59154</v>
      </c>
    </row>
    <row r="17" spans="2:7" x14ac:dyDescent="0.35">
      <c r="B17" t="s">
        <v>330</v>
      </c>
      <c r="C17" t="s">
        <v>298</v>
      </c>
      <c r="D17">
        <f t="shared" ca="1" si="0"/>
        <v>3</v>
      </c>
      <c r="E17">
        <f>VLOOKUP(Table3[[#This Row],[Product ID]],Table2[],3)</f>
        <v>680</v>
      </c>
      <c r="F17">
        <f>INDEX(Table2[Price],MATCH(Table3[[#This Row],[Product ID]],Table2[Product ID]))</f>
        <v>680</v>
      </c>
      <c r="G17">
        <f>_xlfn.XLOOKUP(Table3[[#This Row],[Product ID]],Table2[Product ID],Table2[Price])</f>
        <v>680</v>
      </c>
    </row>
    <row r="18" spans="2:7" x14ac:dyDescent="0.35">
      <c r="B18" t="s">
        <v>331</v>
      </c>
      <c r="C18" t="s">
        <v>301</v>
      </c>
      <c r="D18">
        <f t="shared" ca="1" si="0"/>
        <v>5</v>
      </c>
      <c r="E18">
        <f>VLOOKUP(Table3[[#This Row],[Product ID]],Table2[],3)</f>
        <v>59154</v>
      </c>
      <c r="F18">
        <f>INDEX(Table2[Price],MATCH(Table3[[#This Row],[Product ID]],Table2[Product ID]))</f>
        <v>59154</v>
      </c>
      <c r="G18">
        <f>_xlfn.XLOOKUP(Table3[[#This Row],[Product ID]],Table2[Product ID],Table2[Price])</f>
        <v>59154</v>
      </c>
    </row>
    <row r="19" spans="2:7" x14ac:dyDescent="0.35">
      <c r="B19" t="s">
        <v>332</v>
      </c>
      <c r="C19" t="s">
        <v>301</v>
      </c>
      <c r="D19">
        <f t="shared" ca="1" si="0"/>
        <v>4</v>
      </c>
      <c r="E19">
        <f>VLOOKUP(Table3[[#This Row],[Product ID]],Table2[],3)</f>
        <v>59154</v>
      </c>
      <c r="F19">
        <f>INDEX(Table2[Price],MATCH(Table3[[#This Row],[Product ID]],Table2[Product ID]))</f>
        <v>59154</v>
      </c>
      <c r="G19">
        <f>_xlfn.XLOOKUP(Table3[[#This Row],[Product ID]],Table2[Product ID],Table2[Price])</f>
        <v>59154</v>
      </c>
    </row>
    <row r="20" spans="2:7" x14ac:dyDescent="0.35">
      <c r="B20" t="s">
        <v>333</v>
      </c>
      <c r="C20" t="s">
        <v>299</v>
      </c>
      <c r="D20">
        <f t="shared" ca="1" si="0"/>
        <v>1</v>
      </c>
      <c r="E20">
        <f>VLOOKUP(Table3[[#This Row],[Product ID]],Table2[],3)</f>
        <v>74798</v>
      </c>
      <c r="F20">
        <f>INDEX(Table2[Price],MATCH(Table3[[#This Row],[Product ID]],Table2[Product ID]))</f>
        <v>74798</v>
      </c>
      <c r="G20">
        <f>_xlfn.XLOOKUP(Table3[[#This Row],[Product ID]],Table2[Product ID],Table2[Price])</f>
        <v>74798</v>
      </c>
    </row>
    <row r="21" spans="2:7" x14ac:dyDescent="0.35">
      <c r="B21" t="s">
        <v>334</v>
      </c>
      <c r="C21" t="s">
        <v>297</v>
      </c>
      <c r="D21">
        <f t="shared" ca="1" si="0"/>
        <v>3</v>
      </c>
      <c r="E21">
        <f>VLOOKUP(Table3[[#This Row],[Product ID]],Table2[],3)</f>
        <v>76343</v>
      </c>
      <c r="F21">
        <f>INDEX(Table2[Price],MATCH(Table3[[#This Row],[Product ID]],Table2[Product ID]))</f>
        <v>76343</v>
      </c>
      <c r="G21">
        <f>_xlfn.XLOOKUP(Table3[[#This Row],[Product ID]],Table2[Product ID],Table2[Price])</f>
        <v>76343</v>
      </c>
    </row>
    <row r="22" spans="2:7" x14ac:dyDescent="0.35">
      <c r="B22" t="s">
        <v>335</v>
      </c>
      <c r="C22" t="s">
        <v>304</v>
      </c>
      <c r="D22">
        <f t="shared" ca="1" si="0"/>
        <v>4</v>
      </c>
      <c r="E22">
        <f>VLOOKUP(Table3[[#This Row],[Product ID]],Table2[],3)</f>
        <v>64815</v>
      </c>
      <c r="F22">
        <f>INDEX(Table2[Price],MATCH(Table3[[#This Row],[Product ID]],Table2[Product ID]))</f>
        <v>64815</v>
      </c>
      <c r="G22">
        <f>_xlfn.XLOOKUP(Table3[[#This Row],[Product ID]],Table2[Product ID],Table2[Price])</f>
        <v>64815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1C2F1-BA67-4BC8-81F3-F8D3C9D02F01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DateTime</vt:lpstr>
      <vt:lpstr>lookup</vt:lpstr>
      <vt:lpstr>vlookup</vt:lpstr>
      <vt:lpstr>Products</vt:lpstr>
      <vt:lpstr>Orders</vt:lpstr>
      <vt:lpstr>hlookup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Ishaan Tyagi</dc:creator>
  <cp:lastModifiedBy>Ishaan Tyagi</cp:lastModifiedBy>
  <dcterms:created xsi:type="dcterms:W3CDTF">2026-06-03T01:07:22Z</dcterms:created>
  <dcterms:modified xsi:type="dcterms:W3CDTF">2026-06-05T11:11:24Z</dcterms:modified>
</cp:coreProperties>
</file>