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aan\Desktop\"/>
    </mc:Choice>
  </mc:AlternateContent>
  <xr:revisionPtr revIDLastSave="0" documentId="13_ncr:1_{9F397C50-046F-4A88-B2F1-971712A395B9}" xr6:coauthVersionLast="47" xr6:coauthVersionMax="47" xr10:uidLastSave="{00000000-0000-0000-0000-000000000000}"/>
  <bookViews>
    <workbookView xWindow="0" yWindow="0" windowWidth="19200" windowHeight="11280" xr2:uid="{66250528-A861-4C48-9D7B-164DF7A7A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1" l="1"/>
  <c r="K41" i="1"/>
  <c r="K40" i="1"/>
  <c r="K35" i="1"/>
  <c r="K28" i="1" a="1"/>
  <c r="K28" i="1" s="1"/>
  <c r="K27" i="1"/>
  <c r="K26" i="1"/>
  <c r="U17" i="1"/>
  <c r="K24" i="1"/>
  <c r="K23" i="1"/>
  <c r="K22" i="1"/>
  <c r="K14" i="1"/>
  <c r="K15" i="1"/>
  <c r="Q15" i="1"/>
  <c r="Q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<sst xmlns="http://schemas.openxmlformats.org/spreadsheetml/2006/main" count="41" uniqueCount="33">
  <si>
    <t>Emp ID</t>
  </si>
  <si>
    <t xml:space="preserve">Name </t>
  </si>
  <si>
    <t>Salary</t>
  </si>
  <si>
    <t>Ishaan</t>
  </si>
  <si>
    <t>Sahil</t>
  </si>
  <si>
    <t>Anuj</t>
  </si>
  <si>
    <t>Rahul</t>
  </si>
  <si>
    <t>approximate</t>
  </si>
  <si>
    <t xml:space="preserve">Exact </t>
  </si>
  <si>
    <t>Marks Range</t>
  </si>
  <si>
    <t>Fail</t>
  </si>
  <si>
    <t>Result</t>
  </si>
  <si>
    <t>Pass</t>
  </si>
  <si>
    <t>Merit</t>
  </si>
  <si>
    <t>Distinction</t>
  </si>
  <si>
    <t>Exact</t>
  </si>
  <si>
    <t>Approximate</t>
  </si>
  <si>
    <t>VLOOKUP- Exact match vs Approximate match</t>
  </si>
  <si>
    <t>Small Sample Dataset</t>
  </si>
  <si>
    <t>Finding pos of Anuj</t>
  </si>
  <si>
    <t>Finding pos of 1003</t>
  </si>
  <si>
    <t>Finding pos of 35000</t>
  </si>
  <si>
    <t>Dynamic VLOOKUP</t>
  </si>
  <si>
    <t>Match Function</t>
  </si>
  <si>
    <t>Finding Value at 3rd index of Name</t>
  </si>
  <si>
    <t>Finding Value at 4th index of EmpID</t>
  </si>
  <si>
    <t>Finding All the values of salary (Use 0 for this)</t>
  </si>
  <si>
    <t>Index Function</t>
  </si>
  <si>
    <t>index + match</t>
  </si>
  <si>
    <t>Finding Salary of Anuj</t>
  </si>
  <si>
    <t>XLOOKUP (Best)</t>
  </si>
  <si>
    <t>Finding EmpID from Salary (Right to left search)</t>
  </si>
  <si>
    <t>Error Handling (Finding EmpID 1097)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</si>
</sst>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26"/>
      <color theme="8" tint="0.3999755851924192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1F63F2-C895-4D37-95A8-51011EB9ACE5}" name="Table1" displayName="Table1" ref="K8:M12" totalsRowShown="0">
  <tableColumns count="3">
    <tableColumn id="1" xr3:uid="{2AD59B6E-E8CB-4CBC-A555-86010954AC29}" name="Emp ID"/>
    <tableColumn id="2" xr3:uid="{41ADD155-DA03-4590-B5DE-04E4C7F46D6F}" name="Name "/>
    <tableColumn id="3" xr3:uid="{71EC5BB1-DC56-4271-86D0-D97AACFC4E4C}" name="Sala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57451E-F779-45BD-939F-9798C4E83B4E}" name="Table2" displayName="Table2" ref="P8:Q12" totalsRowShown="0">
  <tableColumns count="2">
    <tableColumn id="1" xr3:uid="{316DB60C-F82A-4043-BBD4-B496CB0055D4}" name="Marks Range"/>
    <tableColumn id="2" xr3:uid="{B57EA5D1-5E3C-4B79-9BCA-39F2FE05CF7E}" name="Resul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DBFFCC-35D9-4831-8DB7-457A30E071A0}" name="Table14" displayName="Table14" ref="U9:W13" totalsRowShown="0">
  <tableColumns count="3">
    <tableColumn id="1" xr3:uid="{7628395D-E1A1-40C7-BC9D-176294C2115B}" name="Emp ID"/>
    <tableColumn id="2" xr3:uid="{AAAA2DDD-E89E-4455-B8F9-2E9B2E65D9B9}" name="Name "/>
    <tableColumn id="3" xr3:uid="{14A1A9A4-56A5-401F-A067-9842192D689D}" name="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7BBC-9DA6-4713-AE29-9303D5FA961C}">
  <dimension ref="B3:W42"/>
  <sheetViews>
    <sheetView tabSelected="1" topLeftCell="C25" workbookViewId="0">
      <selection activeCell="K42" sqref="K42"/>
    </sheetView>
  </sheetViews>
  <sheetFormatPr defaultRowHeight="14.5" x14ac:dyDescent="0.35"/>
  <cols>
    <col min="10" max="10" width="40.6328125" bestFit="1" customWidth="1"/>
    <col min="11" max="11" width="14.90625" bestFit="1" customWidth="1"/>
    <col min="16" max="16" width="13.6328125" customWidth="1"/>
    <col min="17" max="17" width="9.6328125" bestFit="1" customWidth="1"/>
  </cols>
  <sheetData>
    <row r="3" spans="2:23" ht="15" thickBot="1" x14ac:dyDescent="0.4"/>
    <row r="4" spans="2:23" ht="14.5" customHeight="1" x14ac:dyDescent="0.35">
      <c r="K4" s="14" t="s">
        <v>18</v>
      </c>
      <c r="L4" s="15"/>
      <c r="M4" s="15"/>
      <c r="N4" s="15"/>
      <c r="O4" s="15"/>
      <c r="P4" s="15"/>
      <c r="Q4" s="16"/>
    </row>
    <row r="5" spans="2:23" ht="14.5" customHeight="1" x14ac:dyDescent="0.35">
      <c r="K5" s="17"/>
      <c r="L5" s="18"/>
      <c r="M5" s="18"/>
      <c r="N5" s="18"/>
      <c r="O5" s="18"/>
      <c r="P5" s="18"/>
      <c r="Q5" s="19"/>
    </row>
    <row r="6" spans="2:23" ht="14.5" customHeight="1" thickBot="1" x14ac:dyDescent="0.4">
      <c r="K6" s="20"/>
      <c r="L6" s="21"/>
      <c r="M6" s="21"/>
      <c r="N6" s="21"/>
      <c r="O6" s="21"/>
      <c r="P6" s="21"/>
      <c r="Q6" s="22"/>
    </row>
    <row r="8" spans="2:23" x14ac:dyDescent="0.35">
      <c r="K8" t="s">
        <v>0</v>
      </c>
      <c r="L8" t="s">
        <v>1</v>
      </c>
      <c r="M8" t="s">
        <v>2</v>
      </c>
      <c r="P8" t="s">
        <v>9</v>
      </c>
      <c r="Q8" t="s">
        <v>11</v>
      </c>
    </row>
    <row r="9" spans="2:23" x14ac:dyDescent="0.35">
      <c r="K9">
        <v>1001</v>
      </c>
      <c r="L9" t="s">
        <v>3</v>
      </c>
      <c r="M9">
        <v>1000</v>
      </c>
      <c r="P9">
        <v>0</v>
      </c>
      <c r="Q9" t="s">
        <v>10</v>
      </c>
      <c r="U9" t="s">
        <v>0</v>
      </c>
      <c r="V9" t="s">
        <v>1</v>
      </c>
      <c r="W9" t="s">
        <v>2</v>
      </c>
    </row>
    <row r="10" spans="2:23" x14ac:dyDescent="0.35">
      <c r="K10">
        <v>1003</v>
      </c>
      <c r="L10" t="s">
        <v>4</v>
      </c>
      <c r="M10">
        <v>20000</v>
      </c>
      <c r="P10">
        <v>40</v>
      </c>
      <c r="Q10" t="s">
        <v>12</v>
      </c>
      <c r="U10">
        <v>1001</v>
      </c>
      <c r="V10" t="s">
        <v>3</v>
      </c>
      <c r="W10">
        <v>1000</v>
      </c>
    </row>
    <row r="11" spans="2:23" x14ac:dyDescent="0.35">
      <c r="K11">
        <v>1005</v>
      </c>
      <c r="L11" t="s">
        <v>5</v>
      </c>
      <c r="M11">
        <v>35000</v>
      </c>
      <c r="P11">
        <v>60</v>
      </c>
      <c r="Q11" t="s">
        <v>13</v>
      </c>
      <c r="U11">
        <v>1003</v>
      </c>
      <c r="V11" t="s">
        <v>4</v>
      </c>
      <c r="W11">
        <v>20000</v>
      </c>
    </row>
    <row r="12" spans="2:23" x14ac:dyDescent="0.35">
      <c r="K12">
        <v>1006</v>
      </c>
      <c r="L12" t="s">
        <v>6</v>
      </c>
      <c r="M12">
        <v>18000</v>
      </c>
      <c r="P12">
        <v>80</v>
      </c>
      <c r="Q12" t="s">
        <v>14</v>
      </c>
      <c r="U12">
        <v>1005</v>
      </c>
      <c r="V12" t="s">
        <v>5</v>
      </c>
      <c r="W12">
        <v>35000</v>
      </c>
    </row>
    <row r="13" spans="2:23" ht="15" thickBot="1" x14ac:dyDescent="0.4">
      <c r="U13">
        <v>1006</v>
      </c>
      <c r="V13" t="s">
        <v>6</v>
      </c>
      <c r="W13">
        <v>18000</v>
      </c>
    </row>
    <row r="14" spans="2:23" x14ac:dyDescent="0.35">
      <c r="B14" s="5" t="s">
        <v>17</v>
      </c>
      <c r="C14" s="6"/>
      <c r="D14" s="6"/>
      <c r="E14" s="6"/>
      <c r="F14" s="6"/>
      <c r="G14" s="6"/>
      <c r="H14" s="6"/>
      <c r="I14" s="7"/>
      <c r="J14" t="s">
        <v>8</v>
      </c>
      <c r="K14" t="e">
        <f>VLOOKUP(1008,K9:M12,3,0)</f>
        <v>#N/A</v>
      </c>
      <c r="P14" t="s">
        <v>15</v>
      </c>
      <c r="Q14" t="e">
        <f>VLOOKUP(56,P9:Q12,2,0)</f>
        <v>#N/A</v>
      </c>
    </row>
    <row r="15" spans="2:23" x14ac:dyDescent="0.35">
      <c r="B15" s="8"/>
      <c r="C15" s="9"/>
      <c r="D15" s="9"/>
      <c r="E15" s="9"/>
      <c r="F15" s="9"/>
      <c r="G15" s="9"/>
      <c r="H15" s="9"/>
      <c r="I15" s="10"/>
      <c r="J15" t="s">
        <v>7</v>
      </c>
      <c r="K15" t="str">
        <f>VLOOKUP(1008,K9:M12,2,1)</f>
        <v>Rahul</v>
      </c>
      <c r="P15" t="s">
        <v>16</v>
      </c>
      <c r="Q15" t="str">
        <f>VLOOKUP(56,P9:Q12,2)</f>
        <v>Pass</v>
      </c>
    </row>
    <row r="16" spans="2:23" ht="15" thickBot="1" x14ac:dyDescent="0.4">
      <c r="B16" s="11"/>
      <c r="C16" s="12"/>
      <c r="D16" s="12"/>
      <c r="E16" s="12"/>
      <c r="F16" s="12"/>
      <c r="G16" s="12"/>
      <c r="H16" s="12"/>
      <c r="I16" s="13"/>
    </row>
    <row r="17" spans="7:21" ht="15" thickBot="1" x14ac:dyDescent="0.4">
      <c r="S17" s="1" t="s">
        <v>22</v>
      </c>
      <c r="T17" s="2"/>
      <c r="U17">
        <f>VLOOKUP("Sahil",Table14[[Name ]:[Salary]],MATCH("Salary",V9:W9,0),0)</f>
        <v>20000</v>
      </c>
    </row>
    <row r="22" spans="7:21" ht="15" thickBot="1" x14ac:dyDescent="0.4">
      <c r="J22" t="s">
        <v>19</v>
      </c>
      <c r="K22">
        <f>MATCH("Anuj",L9:L12,0)</f>
        <v>3</v>
      </c>
    </row>
    <row r="23" spans="7:21" ht="15" thickBot="1" x14ac:dyDescent="0.4">
      <c r="G23" s="3" t="s">
        <v>23</v>
      </c>
      <c r="H23" s="4"/>
      <c r="J23" t="s">
        <v>20</v>
      </c>
      <c r="K23">
        <f>MATCH(1003,Table1[Emp ID],0)</f>
        <v>2</v>
      </c>
    </row>
    <row r="24" spans="7:21" x14ac:dyDescent="0.35">
      <c r="J24" t="s">
        <v>21</v>
      </c>
      <c r="K24">
        <f>MATCH(35000,Table1[Salary],0)</f>
        <v>3</v>
      </c>
    </row>
    <row r="26" spans="7:21" ht="15" thickBot="1" x14ac:dyDescent="0.4">
      <c r="J26" t="s">
        <v>24</v>
      </c>
      <c r="K26" t="str">
        <f>INDEX(Table1[[Name ]],3)</f>
        <v>Anuj</v>
      </c>
    </row>
    <row r="27" spans="7:21" ht="15" thickBot="1" x14ac:dyDescent="0.4">
      <c r="G27" s="23" t="s">
        <v>27</v>
      </c>
      <c r="H27" s="24"/>
      <c r="J27" t="s">
        <v>25</v>
      </c>
      <c r="K27">
        <f>INDEX(Table1[Emp ID],4)</f>
        <v>1006</v>
      </c>
    </row>
    <row r="28" spans="7:21" x14ac:dyDescent="0.35">
      <c r="J28" t="s">
        <v>26</v>
      </c>
      <c r="K28" cm="1">
        <f t="array" ref="K28:K31">INDEX(Table1[Salary],0)</f>
        <v>1000</v>
      </c>
    </row>
    <row r="29" spans="7:21" x14ac:dyDescent="0.35">
      <c r="K29">
        <v>20000</v>
      </c>
    </row>
    <row r="30" spans="7:21" x14ac:dyDescent="0.35">
      <c r="K30">
        <v>35000</v>
      </c>
    </row>
    <row r="31" spans="7:21" x14ac:dyDescent="0.35">
      <c r="K31">
        <v>18000</v>
      </c>
    </row>
    <row r="34" spans="7:11" ht="15" thickBot="1" x14ac:dyDescent="0.4"/>
    <row r="35" spans="7:11" ht="15" thickBot="1" x14ac:dyDescent="0.4">
      <c r="G35" s="25" t="s">
        <v>28</v>
      </c>
      <c r="H35" s="26"/>
      <c r="J35" t="s">
        <v>29</v>
      </c>
      <c r="K35">
        <f>INDEX(Table1[Salary],MATCH("Anuj",Table1[[Name ]],0))</f>
        <v>35000</v>
      </c>
    </row>
    <row r="39" spans="7:11" ht="15" thickBot="1" x14ac:dyDescent="0.4"/>
    <row r="40" spans="7:11" ht="15" thickBot="1" x14ac:dyDescent="0.4">
      <c r="G40" s="27" t="s">
        <v>30</v>
      </c>
      <c r="H40" s="28"/>
      <c r="J40" t="s">
        <v>29</v>
      </c>
      <c r="K40">
        <f>_xlfn.XLOOKUP("Anuj",Table1[[Name ]],Table1[Salary])</f>
        <v>35000</v>
      </c>
    </row>
    <row r="41" spans="7:11" x14ac:dyDescent="0.35">
      <c r="J41" t="s">
        <v>31</v>
      </c>
      <c r="K41">
        <f>_xlfn.XLOOKUP(35000,Table1[Salary],Table1[Emp ID])</f>
        <v>1005</v>
      </c>
    </row>
    <row r="42" spans="7:11" x14ac:dyDescent="0.35">
      <c r="J42" t="s">
        <v>32</v>
      </c>
      <c r="K42" t="str">
        <f>_xlfn.XLOOKUP(1094,Table1[Emp ID],Table1[Salary],"No such ID exists",0)</f>
        <v>No such ID exists</v>
      </c>
    </row>
  </sheetData>
  <mergeCells count="7">
    <mergeCell ref="G40:H40"/>
    <mergeCell ref="K4:Q6"/>
    <mergeCell ref="B14:I16"/>
    <mergeCell ref="S17:T17"/>
    <mergeCell ref="G23:H23"/>
    <mergeCell ref="G27:H27"/>
    <mergeCell ref="G35:H35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Ishaan Tyagi</dc:creator>
  <cp:lastModifiedBy>Ishaan Tyagi</cp:lastModifiedBy>
  <dcterms:created xsi:type="dcterms:W3CDTF">2026-04-01T04:58:35Z</dcterms:created>
  <dcterms:modified xsi:type="dcterms:W3CDTF">2026-04-01T06:32:57Z</dcterms:modified>
</cp:coreProperties>
</file>