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shaan\Desktop\"/>
    </mc:Choice>
  </mc:AlternateContent>
  <xr:revisionPtr revIDLastSave="0" documentId="13_ncr:1_{04DF06A3-4700-40B2-ADFF-7F9FB7A8BE91}" xr6:coauthVersionLast="47" xr6:coauthVersionMax="47" xr10:uidLastSave="{00000000-0000-0000-0000-000000000000}"/>
  <bookViews>
    <workbookView xWindow="-110" yWindow="-110" windowWidth="19420" windowHeight="11500" firstSheet="1" activeTab="4" xr2:uid="{48D7A289-7038-4147-BCC7-50B68A760B76}"/>
  </bookViews>
  <sheets>
    <sheet name="Sheet1" sheetId="1" r:id="rId1"/>
    <sheet name="Text functions" sheetId="2" r:id="rId2"/>
    <sheet name="Time and Date functions" sheetId="3" r:id="rId3"/>
    <sheet name="Numeric and Logical Functions" sheetId="5" r:id="rId4"/>
    <sheet name="Lookup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6" l="1"/>
  <c r="C5" i="6"/>
  <c r="C6" i="6"/>
  <c r="C7" i="6"/>
  <c r="C8" i="6"/>
  <c r="C9" i="6"/>
  <c r="C10" i="6"/>
  <c r="C3" i="6"/>
  <c r="N14" i="5"/>
  <c r="O14" i="5" s="1"/>
  <c r="N13" i="5"/>
  <c r="F20" i="5"/>
  <c r="F21" i="5"/>
  <c r="F22" i="5"/>
  <c r="F19" i="5"/>
  <c r="H16" i="5"/>
  <c r="H17" i="5"/>
  <c r="H15" i="5"/>
  <c r="G16" i="5"/>
  <c r="G17" i="5"/>
  <c r="G15" i="5"/>
  <c r="E13" i="5"/>
  <c r="E12" i="5"/>
  <c r="F7" i="5"/>
  <c r="F6" i="5"/>
  <c r="H5" i="5"/>
  <c r="H4" i="5"/>
  <c r="G5" i="5"/>
  <c r="G4" i="5"/>
  <c r="F5" i="5"/>
  <c r="F4" i="5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B33" i="3"/>
  <c r="B29" i="3"/>
  <c r="B28" i="3"/>
  <c r="B4" i="3"/>
  <c r="B8" i="3" s="1"/>
  <c r="B2" i="3"/>
  <c r="B6" i="3" s="1"/>
  <c r="N18" i="2" a="1"/>
  <c r="N18" i="2" s="1"/>
  <c r="L20" i="2"/>
  <c r="L21" i="2"/>
  <c r="L19" i="2"/>
  <c r="K19" i="2"/>
  <c r="J19" i="2"/>
  <c r="J20" i="2"/>
  <c r="J21" i="2"/>
  <c r="F16" i="2"/>
  <c r="H16" i="2"/>
  <c r="B16" i="2"/>
  <c r="D16" i="2"/>
  <c r="H11" i="2"/>
  <c r="K16" i="2"/>
  <c r="F11" i="2"/>
  <c r="D11" i="2"/>
  <c r="B11" i="2"/>
  <c r="H6" i="2"/>
  <c r="F6" i="2"/>
  <c r="D6" i="2"/>
  <c r="B7" i="2"/>
  <c r="B6" i="2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V2" i="1"/>
  <c r="T188" i="1"/>
  <c r="W31" i="1"/>
  <c r="U31" i="1"/>
  <c r="S24" i="1"/>
  <c r="T20" i="1"/>
  <c r="T19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T17" i="1"/>
  <c r="T16" i="1"/>
  <c r="T15" i="1"/>
  <c r="T14" i="1"/>
  <c r="T13" i="1"/>
  <c r="T12" i="1"/>
  <c r="T11" i="1"/>
  <c r="T10" i="1"/>
  <c r="T9" i="1"/>
  <c r="T8" i="1"/>
  <c r="T7" i="1"/>
  <c r="T6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T4" i="1"/>
  <c r="B22" i="3" l="1"/>
  <c r="B21" i="3"/>
  <c r="B20" i="3"/>
  <c r="B10" i="3"/>
  <c r="B12" i="3" s="1"/>
  <c r="T5" i="1"/>
  <c r="B30" i="3" l="1"/>
  <c r="B31" i="3"/>
  <c r="B18" i="3"/>
  <c r="B24" i="3"/>
  <c r="B16" i="3"/>
  <c r="B14" i="3"/>
  <c r="B15" i="3"/>
  <c r="B25" i="3" l="1"/>
  <c r="B2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<sst xmlns="http://schemas.openxmlformats.org/spreadsheetml/2006/main" count="10021" uniqueCount="2070">
  <si>
    <t>EEID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</si>
  <si>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</si>
  <si>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</si>
  <si>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</si>
  <si>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</si>
  <si>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</si>
  <si>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</si>
  <si>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</si>
  <si>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</si>
  <si>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</si>
  <si>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</si>
  <si>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</si>
  <si>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</si>
  <si>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</si>
  <si>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E02387</t>
  </si>
  <si>
    <t>Emily Davis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</si>
  <si>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</si>
  <si>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</si>
  <si>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</si>
  <si>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</si>
  <si>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</si>
  <si>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</si>
  <si>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</si>
  <si>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E04105</t>
  </si>
  <si>
    <t>Theodore Dinh</t>
  </si>
  <si>
    <t>Technical Architect</t>
  </si>
  <si>
    <t>Manufacturing</t>
  </si>
  <si>
    <t>Male</t>
  </si>
  <si>
    <t>Asian</t>
  </si>
  <si>
    <t>China</t>
  </si>
  <si>
    <t>Chongqing</t>
  </si>
  <si>
    <t/>
  </si>
  <si>
    <t>E02572</t>
  </si>
  <si>
    <t>Luna Sanders</t>
  </si>
  <si>
    <t>Director</t>
  </si>
  <si>
    <t>Finance</t>
  </si>
  <si>
    <t>Speciality Products</t>
  </si>
  <si>
    <t>Caucasian</t>
  </si>
  <si>
    <t>Chicago</t>
  </si>
  <si>
    <t>E02832</t>
  </si>
  <si>
    <t>Penelope Jordan</t>
  </si>
  <si>
    <t>Computer Systems Manager</t>
  </si>
  <si>
    <t>E01639</t>
  </si>
  <si>
    <t>Austin Vo</t>
  </si>
  <si>
    <t>Sr. Analyst</t>
  </si>
  <si>
    <t>Phoenix</t>
  </si>
  <si>
    <t>E00644</t>
  </si>
  <si>
    <t>Joshua Gupta</t>
  </si>
  <si>
    <t>Account Representative</t>
  </si>
  <si>
    <t>Sales</t>
  </si>
  <si>
    <t>Corporate</t>
  </si>
  <si>
    <t>E01550</t>
  </si>
  <si>
    <t>Ruby Barnes</t>
  </si>
  <si>
    <t>Manager</t>
  </si>
  <si>
    <t>E04332</t>
  </si>
  <si>
    <t>Luke Martin</t>
  </si>
  <si>
    <t>Analyst</t>
  </si>
  <si>
    <t>Miami</t>
  </si>
  <si>
    <t>E04533</t>
  </si>
  <si>
    <t>Easton Bailey</t>
  </si>
  <si>
    <t>Accounting</t>
  </si>
  <si>
    <t>Austin</t>
  </si>
  <si>
    <t>E03838</t>
  </si>
  <si>
    <t>Madeline Walker</t>
  </si>
  <si>
    <t>E00591</t>
  </si>
  <si>
    <t>Savannah Ali</t>
  </si>
  <si>
    <t>Human Resources</t>
  </si>
  <si>
    <t>E03344</t>
  </si>
  <si>
    <t>Camila Rogers</t>
  </si>
  <si>
    <t>Controls Engineer</t>
  </si>
  <si>
    <t>Engineering</t>
  </si>
  <si>
    <t>E00530</t>
  </si>
  <si>
    <t>Eli Jones</t>
  </si>
  <si>
    <t>E04239</t>
  </si>
  <si>
    <t>Everleigh Ng</t>
  </si>
  <si>
    <t>Shanghai</t>
  </si>
  <si>
    <t>E03496</t>
  </si>
  <si>
    <t>Robert Yang</t>
  </si>
  <si>
    <t>E00549</t>
  </si>
  <si>
    <t>Isabella Xi</t>
  </si>
  <si>
    <t>Vice President</t>
  </si>
  <si>
    <t>Marketing</t>
  </si>
  <si>
    <t>E00163</t>
  </si>
  <si>
    <t>Bella Powell</t>
  </si>
  <si>
    <t>E00884</t>
  </si>
  <si>
    <t>Camila Silva</t>
  </si>
  <si>
    <t>Latino</t>
  </si>
  <si>
    <t>E04116</t>
  </si>
  <si>
    <t>David Barnes</t>
  </si>
  <si>
    <t>Columbus</t>
  </si>
  <si>
    <t>E04625</t>
  </si>
  <si>
    <t>Adam Dang</t>
  </si>
  <si>
    <t>E03680</t>
  </si>
  <si>
    <t>Elias Alvarado</t>
  </si>
  <si>
    <t>Brazil</t>
  </si>
  <si>
    <t>Manaus</t>
  </si>
  <si>
    <t>E04732</t>
  </si>
  <si>
    <t>Eva Rivera</t>
  </si>
  <si>
    <t>E03484</t>
  </si>
  <si>
    <t>Logan Rivera</t>
  </si>
  <si>
    <t>Rio de Janerio</t>
  </si>
  <si>
    <t>E00671</t>
  </si>
  <si>
    <t>Leonardo Dixon</t>
  </si>
  <si>
    <t>E02071</t>
  </si>
  <si>
    <t>Mateo Her</t>
  </si>
  <si>
    <t>E02206</t>
  </si>
  <si>
    <t>Jose Henderson</t>
  </si>
  <si>
    <t>E04545</t>
  </si>
  <si>
    <t>Abigail Mejia</t>
  </si>
  <si>
    <t>Quality Engineer</t>
  </si>
  <si>
    <t>E00154</t>
  </si>
  <si>
    <t>Wyatt Chin</t>
  </si>
  <si>
    <t>E03343</t>
  </si>
  <si>
    <t>Carson Lu</t>
  </si>
  <si>
    <t>Engineering Manager</t>
  </si>
  <si>
    <t>Beijing</t>
  </si>
  <si>
    <t>E00304</t>
  </si>
  <si>
    <t>Dylan Choi</t>
  </si>
  <si>
    <t>E02594</t>
  </si>
  <si>
    <t>Ezekiel Kumar</t>
  </si>
  <si>
    <t>IT Coordinator</t>
  </si>
  <si>
    <t>E00402</t>
  </si>
  <si>
    <t>Dominic Guzman</t>
  </si>
  <si>
    <t>E01994</t>
  </si>
  <si>
    <t>Angel Powell</t>
  </si>
  <si>
    <t>Analyst II</t>
  </si>
  <si>
    <t>E03549</t>
  </si>
  <si>
    <t>Mateo Vu</t>
  </si>
  <si>
    <t>E03247</t>
  </si>
  <si>
    <t>Caroline Jenkins</t>
  </si>
  <si>
    <t>E02074</t>
  </si>
  <si>
    <t>Nora Brown</t>
  </si>
  <si>
    <t>Enterprise Architect</t>
  </si>
  <si>
    <t>E04152</t>
  </si>
  <si>
    <t>Adeline Huang</t>
  </si>
  <si>
    <t>Chengdu</t>
  </si>
  <si>
    <t>E01628</t>
  </si>
  <si>
    <t>Jackson Perry</t>
  </si>
  <si>
    <t>E04285</t>
  </si>
  <si>
    <t>Riley Padilla</t>
  </si>
  <si>
    <t>E01417</t>
  </si>
  <si>
    <t>Leah Pena</t>
  </si>
  <si>
    <t>E01754</t>
  </si>
  <si>
    <t>Owen Lam</t>
  </si>
  <si>
    <t>Sr. Business Partner</t>
  </si>
  <si>
    <t>E03749</t>
  </si>
  <si>
    <t>Kennedy Foster</t>
  </si>
  <si>
    <t>E03574</t>
  </si>
  <si>
    <t>John Moore</t>
  </si>
  <si>
    <t>E04600</t>
  </si>
  <si>
    <t>William Vu</t>
  </si>
  <si>
    <t>E00586</t>
  </si>
  <si>
    <t>Sadie Washington</t>
  </si>
  <si>
    <t>E03538</t>
  </si>
  <si>
    <t>Gabriel Holmes</t>
  </si>
  <si>
    <t>E02185</t>
  </si>
  <si>
    <t>Wyatt Rojas</t>
  </si>
  <si>
    <t>E03830</t>
  </si>
  <si>
    <t>Eva Coleman</t>
  </si>
  <si>
    <t>E03720</t>
  </si>
  <si>
    <t>Dominic Clark</t>
  </si>
  <si>
    <t>E03025</t>
  </si>
  <si>
    <t>Lucy Alexander</t>
  </si>
  <si>
    <t>E04917</t>
  </si>
  <si>
    <t>Everleigh Washington</t>
  </si>
  <si>
    <t>HRIS Analyst</t>
  </si>
  <si>
    <t>E00415</t>
  </si>
  <si>
    <t>Leilani Butler</t>
  </si>
  <si>
    <t>E02862</t>
  </si>
  <si>
    <t>Peyton Huang</t>
  </si>
  <si>
    <t>E04207</t>
  </si>
  <si>
    <t>John Contreras</t>
  </si>
  <si>
    <t>E02139</t>
  </si>
  <si>
    <t>Rylee Yu</t>
  </si>
  <si>
    <t>E01797</t>
  </si>
  <si>
    <t>Piper Lewis</t>
  </si>
  <si>
    <t>Field Engineer</t>
  </si>
  <si>
    <t>E01839</t>
  </si>
  <si>
    <t>Stella Alexander</t>
  </si>
  <si>
    <t>Automation Engineer</t>
  </si>
  <si>
    <t>E01633</t>
  </si>
  <si>
    <t>Addison Do</t>
  </si>
  <si>
    <t>Operations Engineer</t>
  </si>
  <si>
    <t>E01848</t>
  </si>
  <si>
    <t>Zoey Jackson</t>
  </si>
  <si>
    <t>Business Partner</t>
  </si>
  <si>
    <t>E00716</t>
  </si>
  <si>
    <t>John Chow</t>
  </si>
  <si>
    <t>E00699</t>
  </si>
  <si>
    <t>Ava Ayala</t>
  </si>
  <si>
    <t>E00502</t>
  </si>
  <si>
    <t>Natalia Salazar</t>
  </si>
  <si>
    <t>E04000</t>
  </si>
  <si>
    <t>Skylar Carrillo</t>
  </si>
  <si>
    <t>E02112</t>
  </si>
  <si>
    <t>Christian Sanders</t>
  </si>
  <si>
    <t>E03824</t>
  </si>
  <si>
    <t>Penelope Coleman</t>
  </si>
  <si>
    <t>E03906</t>
  </si>
  <si>
    <t>Piper Richardson</t>
  </si>
  <si>
    <t>E00436</t>
  </si>
  <si>
    <t>Everly Walker</t>
  </si>
  <si>
    <t>E04798</t>
  </si>
  <si>
    <t>Aurora Ali</t>
  </si>
  <si>
    <t>E01249</t>
  </si>
  <si>
    <t>Penelope Guerrero</t>
  </si>
  <si>
    <t>E03349</t>
  </si>
  <si>
    <t>Anna Mehta</t>
  </si>
  <si>
    <t>Cloud Infrastructure Architect</t>
  </si>
  <si>
    <t>E02966</t>
  </si>
  <si>
    <t>William Foster</t>
  </si>
  <si>
    <t>E01499</t>
  </si>
  <si>
    <t>Jade Rojas</t>
  </si>
  <si>
    <t>E00105</t>
  </si>
  <si>
    <t>Isla Espinoza</t>
  </si>
  <si>
    <t>E00665</t>
  </si>
  <si>
    <t>David Chu</t>
  </si>
  <si>
    <t>E00791</t>
  </si>
  <si>
    <t>Thomas Padilla</t>
  </si>
  <si>
    <t>Sao Paulo</t>
  </si>
  <si>
    <t>E01540</t>
  </si>
  <si>
    <t>Miles Salazar</t>
  </si>
  <si>
    <t>E04474</t>
  </si>
  <si>
    <t>Mila Hong</t>
  </si>
  <si>
    <t>Test Engineer</t>
  </si>
  <si>
    <t>E03417</t>
  </si>
  <si>
    <t>Benjamin Moua</t>
  </si>
  <si>
    <t>E00254</t>
  </si>
  <si>
    <t>Samuel Morales</t>
  </si>
  <si>
    <t>E02166</t>
  </si>
  <si>
    <t>John Soto</t>
  </si>
  <si>
    <t>E00935</t>
  </si>
  <si>
    <t>Joseph Martin</t>
  </si>
  <si>
    <t>E01525</t>
  </si>
  <si>
    <t>Jose Ross</t>
  </si>
  <si>
    <t>E00386</t>
  </si>
  <si>
    <t>Parker James</t>
  </si>
  <si>
    <t>E00416</t>
  </si>
  <si>
    <t>Everleigh Fernandez</t>
  </si>
  <si>
    <t>E03383</t>
  </si>
  <si>
    <t>Lincoln Hall</t>
  </si>
  <si>
    <t>E01516</t>
  </si>
  <si>
    <t>Willow Mai</t>
  </si>
  <si>
    <t>E01234</t>
  </si>
  <si>
    <t>Jack Cheng</t>
  </si>
  <si>
    <t>E03440</t>
  </si>
  <si>
    <t>Genesis Navarro</t>
  </si>
  <si>
    <t>E00431</t>
  </si>
  <si>
    <t>Eliza Hernandez</t>
  </si>
  <si>
    <t>Network Architect</t>
  </si>
  <si>
    <t>E01258</t>
  </si>
  <si>
    <t>Gabriel Brooks</t>
  </si>
  <si>
    <t>Network Engineer</t>
  </si>
  <si>
    <t>E00440</t>
  </si>
  <si>
    <t>Jack Huynh</t>
  </si>
  <si>
    <t>E00595</t>
  </si>
  <si>
    <t>Everly Chow</t>
  </si>
  <si>
    <t>E00972</t>
  </si>
  <si>
    <t>Amelia Salazar</t>
  </si>
  <si>
    <t>E04562</t>
  </si>
  <si>
    <t>Xavier Zheng</t>
  </si>
  <si>
    <t>E02802</t>
  </si>
  <si>
    <t>Matthew Chau</t>
  </si>
  <si>
    <t>E01427</t>
  </si>
  <si>
    <t>Mia Cheng</t>
  </si>
  <si>
    <t>E04568</t>
  </si>
  <si>
    <t>E04931</t>
  </si>
  <si>
    <t>Zoe Romero</t>
  </si>
  <si>
    <t>E00443</t>
  </si>
  <si>
    <t>Nolan Bui</t>
  </si>
  <si>
    <t>E03890</t>
  </si>
  <si>
    <t>Nevaeh Jones</t>
  </si>
  <si>
    <t>E01194</t>
  </si>
  <si>
    <t>Samantha Adams</t>
  </si>
  <si>
    <t>E02875</t>
  </si>
  <si>
    <t>Madeline Shin</t>
  </si>
  <si>
    <t>E04959</t>
  </si>
  <si>
    <t>Noah King</t>
  </si>
  <si>
    <t>Development Engineer</t>
  </si>
  <si>
    <t>E03816</t>
  </si>
  <si>
    <t>Leilani Chow</t>
  </si>
  <si>
    <t>E01261</t>
  </si>
  <si>
    <t>Connor Simmons</t>
  </si>
  <si>
    <t>E03612</t>
  </si>
  <si>
    <t>Grayson Cooper</t>
  </si>
  <si>
    <t>E01388</t>
  </si>
  <si>
    <t>Ivy Soto</t>
  </si>
  <si>
    <t>E03875</t>
  </si>
  <si>
    <t>Aurora Simmons</t>
  </si>
  <si>
    <t>E04413</t>
  </si>
  <si>
    <t>Andrew Thomas</t>
  </si>
  <si>
    <t>E00691</t>
  </si>
  <si>
    <t>Ezekiel Desai</t>
  </si>
  <si>
    <t>E03047</t>
  </si>
  <si>
    <t>Gabriella Gupta</t>
  </si>
  <si>
    <t>Sr. Account Representative</t>
  </si>
  <si>
    <t>E04903</t>
  </si>
  <si>
    <t>Skylar Liu</t>
  </si>
  <si>
    <t>E04735</t>
  </si>
  <si>
    <t>Nova Coleman</t>
  </si>
  <si>
    <t>System Administrator </t>
  </si>
  <si>
    <t>E02850</t>
  </si>
  <si>
    <t>Evelyn Dinh</t>
  </si>
  <si>
    <t>E03583</t>
  </si>
  <si>
    <t>Brooks Marquez</t>
  </si>
  <si>
    <t>E02017</t>
  </si>
  <si>
    <t>Connor Joseph</t>
  </si>
  <si>
    <t>E01642</t>
  </si>
  <si>
    <t>Mia Lam</t>
  </si>
  <si>
    <t>E04379</t>
  </si>
  <si>
    <t>Scarlett Rodriguez</t>
  </si>
  <si>
    <t>E04131</t>
  </si>
  <si>
    <t>Cora Rivera</t>
  </si>
  <si>
    <t>E02872</t>
  </si>
  <si>
    <t>Liam Jung</t>
  </si>
  <si>
    <t>E02331</t>
  </si>
  <si>
    <t>Sophia Huynh</t>
  </si>
  <si>
    <t>E00417</t>
  </si>
  <si>
    <t>Athena Carrillo</t>
  </si>
  <si>
    <t>E04267</t>
  </si>
  <si>
    <t>Greyson Sanders</t>
  </si>
  <si>
    <t>E03061</t>
  </si>
  <si>
    <t>Vivian Lewis</t>
  </si>
  <si>
    <t>E00013</t>
  </si>
  <si>
    <t>Elena Vang</t>
  </si>
  <si>
    <t>E04265</t>
  </si>
  <si>
    <t>Natalia Diaz</t>
  </si>
  <si>
    <t>E04769</t>
  </si>
  <si>
    <t>Mila Leung</t>
  </si>
  <si>
    <t>E03042</t>
  </si>
  <si>
    <t>Ava Nelson</t>
  </si>
  <si>
    <t>Systems Analyst</t>
  </si>
  <si>
    <t>E00527</t>
  </si>
  <si>
    <t>Mateo Chu</t>
  </si>
  <si>
    <t>E01095</t>
  </si>
  <si>
    <t>Isla Lai</t>
  </si>
  <si>
    <t>E03131</t>
  </si>
  <si>
    <t>Ezekiel Reed</t>
  </si>
  <si>
    <t>E01713</t>
  </si>
  <si>
    <t>Nolan Guzman</t>
  </si>
  <si>
    <t>E00128</t>
  </si>
  <si>
    <t>Everleigh Espinoza</t>
  </si>
  <si>
    <t>E03849</t>
  </si>
  <si>
    <t>Evelyn Jung</t>
  </si>
  <si>
    <t>E02464</t>
  </si>
  <si>
    <t>Sophie Silva</t>
  </si>
  <si>
    <t>E00306</t>
  </si>
  <si>
    <t>Mateo Williams</t>
  </si>
  <si>
    <t>E03737</t>
  </si>
  <si>
    <t>Kennedy Rahman</t>
  </si>
  <si>
    <t>E02783</t>
  </si>
  <si>
    <t>Levi Mendez</t>
  </si>
  <si>
    <t>E02939</t>
  </si>
  <si>
    <t>Julian Fong</t>
  </si>
  <si>
    <t>E02706</t>
  </si>
  <si>
    <t>Nevaeh Kang</t>
  </si>
  <si>
    <t>E00170</t>
  </si>
  <si>
    <t>Hannah Nelson</t>
  </si>
  <si>
    <t>E01425</t>
  </si>
  <si>
    <t>Anthony Rogers</t>
  </si>
  <si>
    <t>E00130</t>
  </si>
  <si>
    <t>Paisley Kang</t>
  </si>
  <si>
    <t>E02094</t>
  </si>
  <si>
    <t>Matthew Gupta</t>
  </si>
  <si>
    <t>E03567</t>
  </si>
  <si>
    <t>Silas Chavez</t>
  </si>
  <si>
    <t>E04682</t>
  </si>
  <si>
    <t>Colton Thao</t>
  </si>
  <si>
    <t>E00957</t>
  </si>
  <si>
    <t>Genesis Perry</t>
  </si>
  <si>
    <t>E04458</t>
  </si>
  <si>
    <t>Alexander Bryant</t>
  </si>
  <si>
    <t>Elias Zhang</t>
  </si>
  <si>
    <t>Solutions Architect</t>
  </si>
  <si>
    <t>E00521</t>
  </si>
  <si>
    <t>Lily Carter</t>
  </si>
  <si>
    <t>E03717</t>
  </si>
  <si>
    <t>Joseph Ruiz</t>
  </si>
  <si>
    <t>E01533</t>
  </si>
  <si>
    <t>Avery Bailey</t>
  </si>
  <si>
    <t>E04449</t>
  </si>
  <si>
    <t>Miles Hsu</t>
  </si>
  <si>
    <t>E02855</t>
  </si>
  <si>
    <t>Piper Cheng</t>
  </si>
  <si>
    <t>E00816</t>
  </si>
  <si>
    <t>Skylar Watson</t>
  </si>
  <si>
    <t>E02283</t>
  </si>
  <si>
    <t>Jaxon Park</t>
  </si>
  <si>
    <t>E04888</t>
  </si>
  <si>
    <t>Elijah Henry</t>
  </si>
  <si>
    <t>E03907</t>
  </si>
  <si>
    <t>Camila Watson</t>
  </si>
  <si>
    <t>Lucas Thomas</t>
  </si>
  <si>
    <t>Skylar Doan</t>
  </si>
  <si>
    <t>E01501</t>
  </si>
  <si>
    <t>Hudson Liu</t>
  </si>
  <si>
    <t>E01141</t>
  </si>
  <si>
    <t>Gianna Williams</t>
  </si>
  <si>
    <t>E02254</t>
  </si>
  <si>
    <t>Jaxson Sandoval</t>
  </si>
  <si>
    <t>E04504</t>
  </si>
  <si>
    <t>Jameson Alvarado</t>
  </si>
  <si>
    <t>E03394</t>
  </si>
  <si>
    <t>Joseph Ly</t>
  </si>
  <si>
    <t>E02942</t>
  </si>
  <si>
    <t>Daniel Richardson</t>
  </si>
  <si>
    <t>E04130</t>
  </si>
  <si>
    <t>Elias Figueroa</t>
  </si>
  <si>
    <t>E02848</t>
  </si>
  <si>
    <t>Emma Brooks</t>
  </si>
  <si>
    <t>E00085</t>
  </si>
  <si>
    <t>Isla Wong</t>
  </si>
  <si>
    <t>E03956</t>
  </si>
  <si>
    <t>E00672</t>
  </si>
  <si>
    <t>Mila Pena</t>
  </si>
  <si>
    <t>E04618</t>
  </si>
  <si>
    <t>Mason Zhao</t>
  </si>
  <si>
    <t>E03506</t>
  </si>
  <si>
    <t>Jaxson Mai</t>
  </si>
  <si>
    <t>E00568</t>
  </si>
  <si>
    <t>Ava Garza</t>
  </si>
  <si>
    <t>E00535</t>
  </si>
  <si>
    <t>Nathan Mendez</t>
  </si>
  <si>
    <t>E04630</t>
  </si>
  <si>
    <t>Maria Griffin</t>
  </si>
  <si>
    <t>E00874</t>
  </si>
  <si>
    <t>Alexander Choi</t>
  </si>
  <si>
    <t>E01546</t>
  </si>
  <si>
    <t>Maria Hong</t>
  </si>
  <si>
    <t>E00941</t>
  </si>
  <si>
    <t>Sophie Ali</t>
  </si>
  <si>
    <t>E03446</t>
  </si>
  <si>
    <t>Julian Ross</t>
  </si>
  <si>
    <t>E01361</t>
  </si>
  <si>
    <t>Emma Hill</t>
  </si>
  <si>
    <t>E01631</t>
  </si>
  <si>
    <t>Leilani Yee</t>
  </si>
  <si>
    <t>E03719</t>
  </si>
  <si>
    <t>Jack Brown</t>
  </si>
  <si>
    <t>E03269</t>
  </si>
  <si>
    <t>Charlotte Chu</t>
  </si>
  <si>
    <t>E01037</t>
  </si>
  <si>
    <t>Jeremiah Chu</t>
  </si>
  <si>
    <t>IT Systems Architect</t>
  </si>
  <si>
    <t>Miles Cho</t>
  </si>
  <si>
    <t>E02216</t>
  </si>
  <si>
    <t>Caleb Marquez</t>
  </si>
  <si>
    <t>E02803</t>
  </si>
  <si>
    <t>Eli Soto</t>
  </si>
  <si>
    <t>E01584</t>
  </si>
  <si>
    <t>Carter Mejia</t>
  </si>
  <si>
    <t>E02489</t>
  </si>
  <si>
    <t>Ethan Clark</t>
  </si>
  <si>
    <t>E03189</t>
  </si>
  <si>
    <t>Asher Jackson</t>
  </si>
  <si>
    <t>E03560</t>
  </si>
  <si>
    <t>Ayla Ng</t>
  </si>
  <si>
    <t>E00769</t>
  </si>
  <si>
    <t>Jose Kang</t>
  </si>
  <si>
    <t>E02791</t>
  </si>
  <si>
    <t>Aubrey Romero</t>
  </si>
  <si>
    <t>E02333</t>
  </si>
  <si>
    <t>Jaxson Wright</t>
  </si>
  <si>
    <t>Service Desk Analyst</t>
  </si>
  <si>
    <t>E01002</t>
  </si>
  <si>
    <t>Elias Ali</t>
  </si>
  <si>
    <t>E03520</t>
  </si>
  <si>
    <t>Nolan Pena</t>
  </si>
  <si>
    <t>E00752</t>
  </si>
  <si>
    <t>Luna Liu</t>
  </si>
  <si>
    <t>E00233</t>
  </si>
  <si>
    <t>Brooklyn Reyes</t>
  </si>
  <si>
    <t>E02639</t>
  </si>
  <si>
    <t>Hadley Parker</t>
  </si>
  <si>
    <t>E00697</t>
  </si>
  <si>
    <t>Jonathan Chavez</t>
  </si>
  <si>
    <t>E02183</t>
  </si>
  <si>
    <t>Sarah Ayala</t>
  </si>
  <si>
    <t>E00715</t>
  </si>
  <si>
    <t>Elijah Kang</t>
  </si>
  <si>
    <t>E04288</t>
  </si>
  <si>
    <t>Ella White</t>
  </si>
  <si>
    <t>E02421</t>
  </si>
  <si>
    <t>Jordan Truong</t>
  </si>
  <si>
    <t>E00523</t>
  </si>
  <si>
    <t>Daniel Jordan</t>
  </si>
  <si>
    <t>Network Administrator</t>
  </si>
  <si>
    <t>E03615</t>
  </si>
  <si>
    <t>Daniel Dixon</t>
  </si>
  <si>
    <t>E02761</t>
  </si>
  <si>
    <t>Luca Duong</t>
  </si>
  <si>
    <t>E02121</t>
  </si>
  <si>
    <t>Levi Brown</t>
  </si>
  <si>
    <t>E01486</t>
  </si>
  <si>
    <t>Mason Cho</t>
  </si>
  <si>
    <t>E00725</t>
  </si>
  <si>
    <t>Nova Herrera</t>
  </si>
  <si>
    <t>E03027</t>
  </si>
  <si>
    <t>Elijah Watson</t>
  </si>
  <si>
    <t>E03689</t>
  </si>
  <si>
    <t>Wesley Gray</t>
  </si>
  <si>
    <t>E01986</t>
  </si>
  <si>
    <t>Wesley Sharma</t>
  </si>
  <si>
    <t>E01286</t>
  </si>
  <si>
    <t>Mateo Mendez</t>
  </si>
  <si>
    <t>E01409</t>
  </si>
  <si>
    <t>Jose Molina</t>
  </si>
  <si>
    <t>E00626</t>
  </si>
  <si>
    <t>Luna Simmons</t>
  </si>
  <si>
    <t>E04342</t>
  </si>
  <si>
    <t>Samantha Barnes</t>
  </si>
  <si>
    <t>E03904</t>
  </si>
  <si>
    <t>Hunter Ortiz</t>
  </si>
  <si>
    <t>E01291</t>
  </si>
  <si>
    <t>Thomas Aguilar</t>
  </si>
  <si>
    <t>E00917</t>
  </si>
  <si>
    <t>Skylar Bell</t>
  </si>
  <si>
    <t>E01484</t>
  </si>
  <si>
    <t>Anna Zhu</t>
  </si>
  <si>
    <t>E03864</t>
  </si>
  <si>
    <t>Ella Hunter</t>
  </si>
  <si>
    <t>E00488</t>
  </si>
  <si>
    <t>Emery Hunter</t>
  </si>
  <si>
    <t>E02227</t>
  </si>
  <si>
    <t>Sofia Parker</t>
  </si>
  <si>
    <t>E04802</t>
  </si>
  <si>
    <t>Lucy Fong</t>
  </si>
  <si>
    <t>E01970</t>
  </si>
  <si>
    <t>Vivian Barnes</t>
  </si>
  <si>
    <t>E02813</t>
  </si>
  <si>
    <t>Kai Chow</t>
  </si>
  <si>
    <t>E02031</t>
  </si>
  <si>
    <t>Melody Cooper</t>
  </si>
  <si>
    <t>E03252</t>
  </si>
  <si>
    <t>James Bui</t>
  </si>
  <si>
    <t>E04871</t>
  </si>
  <si>
    <t>Liam Grant</t>
  </si>
  <si>
    <t>E03547</t>
  </si>
  <si>
    <t>Owen Han</t>
  </si>
  <si>
    <t>E04742</t>
  </si>
  <si>
    <t>Kinsley Vega</t>
  </si>
  <si>
    <t>E01070</t>
  </si>
  <si>
    <t>Leonardo Martin</t>
  </si>
  <si>
    <t>E04359</t>
  </si>
  <si>
    <t>Greyson Lam</t>
  </si>
  <si>
    <t>E03268</t>
  </si>
  <si>
    <t>Emilia Rivera</t>
  </si>
  <si>
    <t>E04035</t>
  </si>
  <si>
    <t>Penelope Johnson</t>
  </si>
  <si>
    <t>E01221</t>
  </si>
  <si>
    <t>Eva Figueroa</t>
  </si>
  <si>
    <t>E00276</t>
  </si>
  <si>
    <t>Ezekiel Jordan</t>
  </si>
  <si>
    <t>E01687</t>
  </si>
  <si>
    <t>Luke Mai</t>
  </si>
  <si>
    <t>E02844</t>
  </si>
  <si>
    <t>Charles Diaz</t>
  </si>
  <si>
    <t>E01263</t>
  </si>
  <si>
    <t>Adam Espinoza</t>
  </si>
  <si>
    <t>E00119</t>
  </si>
  <si>
    <t>Jack Maldonado</t>
  </si>
  <si>
    <t>E03935</t>
  </si>
  <si>
    <t>Cora Jiang</t>
  </si>
  <si>
    <t>E00742</t>
  </si>
  <si>
    <t>Cooper Mitchell</t>
  </si>
  <si>
    <t>E02810</t>
  </si>
  <si>
    <t>Layla Torres</t>
  </si>
  <si>
    <t>E01860</t>
  </si>
  <si>
    <t>Jack Edwards</t>
  </si>
  <si>
    <t>E04890</t>
  </si>
  <si>
    <t>Eleanor Chan</t>
  </si>
  <si>
    <t>E02285</t>
  </si>
  <si>
    <t>Aria Xi</t>
  </si>
  <si>
    <t>E00842</t>
  </si>
  <si>
    <t>John Vega</t>
  </si>
  <si>
    <t>E01271</t>
  </si>
  <si>
    <t>Luke Munoz</t>
  </si>
  <si>
    <t>E01921</t>
  </si>
  <si>
    <t>Sarah Daniels</t>
  </si>
  <si>
    <t>E03664</t>
  </si>
  <si>
    <t>Aria Castro</t>
  </si>
  <si>
    <t>E00813</t>
  </si>
  <si>
    <t>Autumn Joseph</t>
  </si>
  <si>
    <t>E00870</t>
  </si>
  <si>
    <t>Evelyn Liang</t>
  </si>
  <si>
    <t>E04167</t>
  </si>
  <si>
    <t>Henry Alvarez</t>
  </si>
  <si>
    <t>E00245</t>
  </si>
  <si>
    <t>Benjamin Delgado</t>
  </si>
  <si>
    <t>E00976</t>
  </si>
  <si>
    <t>Zoe Rodriguez</t>
  </si>
  <si>
    <t>E04112</t>
  </si>
  <si>
    <t>Axel Chu</t>
  </si>
  <si>
    <t>E01807</t>
  </si>
  <si>
    <t>Cameron Evans</t>
  </si>
  <si>
    <t>E04103</t>
  </si>
  <si>
    <t>Isabella Soto</t>
  </si>
  <si>
    <t>E01412</t>
  </si>
  <si>
    <t>Eva Jenkins</t>
  </si>
  <si>
    <t>E04386</t>
  </si>
  <si>
    <t>Cameron Powell</t>
  </si>
  <si>
    <t>E01232</t>
  </si>
  <si>
    <t>Samantha Foster</t>
  </si>
  <si>
    <t>E04572</t>
  </si>
  <si>
    <t>Jade Li</t>
  </si>
  <si>
    <t>E02747</t>
  </si>
  <si>
    <t>Kinsley Acosta</t>
  </si>
  <si>
    <t>E01064</t>
  </si>
  <si>
    <t>Clara Kang</t>
  </si>
  <si>
    <t>E00178</t>
  </si>
  <si>
    <t>Harper Alexander</t>
  </si>
  <si>
    <t>E01091</t>
  </si>
  <si>
    <t>Carter Reed</t>
  </si>
  <si>
    <t>Charlotte Ruiz</t>
  </si>
  <si>
    <t>E01309</t>
  </si>
  <si>
    <t>Everleigh Jiang</t>
  </si>
  <si>
    <t>E02378</t>
  </si>
  <si>
    <t>Audrey Smith</t>
  </si>
  <si>
    <t>E04127</t>
  </si>
  <si>
    <t>Emery Acosta</t>
  </si>
  <si>
    <t>E02072</t>
  </si>
  <si>
    <t>Charles Robinson</t>
  </si>
  <si>
    <t>E02555</t>
  </si>
  <si>
    <t>Landon Lopez</t>
  </si>
  <si>
    <t>E00187</t>
  </si>
  <si>
    <t>Miles Mehta</t>
  </si>
  <si>
    <t>Ezra Simmons</t>
  </si>
  <si>
    <t>E02062</t>
  </si>
  <si>
    <t>Nora Santiago</t>
  </si>
  <si>
    <t>E00034</t>
  </si>
  <si>
    <t>Caroline Herrera</t>
  </si>
  <si>
    <t>E00273</t>
  </si>
  <si>
    <t>David Owens</t>
  </si>
  <si>
    <t>Avery Yee</t>
  </si>
  <si>
    <t>E01403</t>
  </si>
  <si>
    <t>Xavier Park</t>
  </si>
  <si>
    <t>E03438</t>
  </si>
  <si>
    <t>Asher Morales</t>
  </si>
  <si>
    <t>E04136</t>
  </si>
  <si>
    <t>Mason Cao</t>
  </si>
  <si>
    <t>E02944</t>
  </si>
  <si>
    <t>Joshua Fong</t>
  </si>
  <si>
    <t>E03300</t>
  </si>
  <si>
    <t>Maria Chin</t>
  </si>
  <si>
    <t>E00078</t>
  </si>
  <si>
    <t>Eva Garcia</t>
  </si>
  <si>
    <t>E00825</t>
  </si>
  <si>
    <t>Anna Molina</t>
  </si>
  <si>
    <t>E04972</t>
  </si>
  <si>
    <t>Logan Bryant</t>
  </si>
  <si>
    <t>E03941</t>
  </si>
  <si>
    <t>Isla Han</t>
  </si>
  <si>
    <t>E02148</t>
  </si>
  <si>
    <t>Christopher Vega</t>
  </si>
  <si>
    <t>E02252</t>
  </si>
  <si>
    <t>Lillian Park</t>
  </si>
  <si>
    <t>E03096</t>
  </si>
  <si>
    <t>Kennedy Zhang</t>
  </si>
  <si>
    <t>E04800</t>
  </si>
  <si>
    <t>Eli Han</t>
  </si>
  <si>
    <t>E02838</t>
  </si>
  <si>
    <t>Julia Pham</t>
  </si>
  <si>
    <t>E02980</t>
  </si>
  <si>
    <t>Hailey Shin</t>
  </si>
  <si>
    <t>E04477</t>
  </si>
  <si>
    <t>Connor Grant</t>
  </si>
  <si>
    <t>E04348</t>
  </si>
  <si>
    <t>Natalia Owens</t>
  </si>
  <si>
    <t>E01638</t>
  </si>
  <si>
    <t>Maria He</t>
  </si>
  <si>
    <t>E03419</t>
  </si>
  <si>
    <t>Jade Yi</t>
  </si>
  <si>
    <t>E04222</t>
  </si>
  <si>
    <t>Quinn Xiong</t>
  </si>
  <si>
    <t>E04126</t>
  </si>
  <si>
    <t>Dominic Baker</t>
  </si>
  <si>
    <t>E01896</t>
  </si>
  <si>
    <t>Adam Nelson</t>
  </si>
  <si>
    <t>E03018</t>
  </si>
  <si>
    <t>Autumn Reed</t>
  </si>
  <si>
    <t>E03325</t>
  </si>
  <si>
    <t>Robert Edwards</t>
  </si>
  <si>
    <t>E04037</t>
  </si>
  <si>
    <t>Roman Martinez</t>
  </si>
  <si>
    <t>E01902</t>
  </si>
  <si>
    <t>Eleanor Li</t>
  </si>
  <si>
    <t>E01466</t>
  </si>
  <si>
    <t>Connor Vang</t>
  </si>
  <si>
    <t>E02038</t>
  </si>
  <si>
    <t>Ellie Chung</t>
  </si>
  <si>
    <t>E03474</t>
  </si>
  <si>
    <t>Violet Hall</t>
  </si>
  <si>
    <t>E02744</t>
  </si>
  <si>
    <t>Dylan Padilla</t>
  </si>
  <si>
    <t>E00702</t>
  </si>
  <si>
    <t>Nathan Pham</t>
  </si>
  <si>
    <t>E03081</t>
  </si>
  <si>
    <t>Ayla Brown</t>
  </si>
  <si>
    <t>E01281</t>
  </si>
  <si>
    <t>Isaac Mitchell</t>
  </si>
  <si>
    <t>E04029</t>
  </si>
  <si>
    <t>Jayden Jimenez</t>
  </si>
  <si>
    <t>E01116</t>
  </si>
  <si>
    <t>Jaxon Tran</t>
  </si>
  <si>
    <t>E01753</t>
  </si>
  <si>
    <t>Connor Fong</t>
  </si>
  <si>
    <t>E04072</t>
  </si>
  <si>
    <t>Emery Mitchell</t>
  </si>
  <si>
    <t>Landon Luu</t>
  </si>
  <si>
    <t>E04419</t>
  </si>
  <si>
    <t>Sophia Ahmed</t>
  </si>
  <si>
    <t>E00467</t>
  </si>
  <si>
    <t>Sofia Dinh</t>
  </si>
  <si>
    <t>E00365</t>
  </si>
  <si>
    <t>Jonathan Patel</t>
  </si>
  <si>
    <t>Piper Patterson</t>
  </si>
  <si>
    <t>E03292</t>
  </si>
  <si>
    <t>Cora Evans</t>
  </si>
  <si>
    <t>E04779</t>
  </si>
  <si>
    <t>Cameron Young</t>
  </si>
  <si>
    <t>E00501</t>
  </si>
  <si>
    <t>Melody Ho</t>
  </si>
  <si>
    <t>E01132</t>
  </si>
  <si>
    <t>Aiden Bryant</t>
  </si>
  <si>
    <t>E00556</t>
  </si>
  <si>
    <t>Grayson Walker</t>
  </si>
  <si>
    <t>E00311</t>
  </si>
  <si>
    <t>Scarlett Figueroa</t>
  </si>
  <si>
    <t>E04567</t>
  </si>
  <si>
    <t>Madeline Hoang</t>
  </si>
  <si>
    <t>E04378</t>
  </si>
  <si>
    <t>E03251</t>
  </si>
  <si>
    <t>Ruby Medina</t>
  </si>
  <si>
    <t>E03167</t>
  </si>
  <si>
    <t>Luke Zheng</t>
  </si>
  <si>
    <t>E03347</t>
  </si>
  <si>
    <t>Rylee Dinh</t>
  </si>
  <si>
    <t>E03908</t>
  </si>
  <si>
    <t>Miles Evans</t>
  </si>
  <si>
    <t>E01351</t>
  </si>
  <si>
    <t>Leo Owens</t>
  </si>
  <si>
    <t>E02681</t>
  </si>
  <si>
    <t>Caroline Owens</t>
  </si>
  <si>
    <t>E03807</t>
  </si>
  <si>
    <t>Kennedy Do</t>
  </si>
  <si>
    <t>E00422</t>
  </si>
  <si>
    <t>Jade Acosta</t>
  </si>
  <si>
    <t>E00265</t>
  </si>
  <si>
    <t>Mila Vasquez</t>
  </si>
  <si>
    <t>E04601</t>
  </si>
  <si>
    <t>Allison Ayala</t>
  </si>
  <si>
    <t>E04816</t>
  </si>
  <si>
    <t>Jace Zhang</t>
  </si>
  <si>
    <t>E02147</t>
  </si>
  <si>
    <t>Allison Medina</t>
  </si>
  <si>
    <t>E02914</t>
  </si>
  <si>
    <t>Maria Wilson</t>
  </si>
  <si>
    <t>Everly Coleman</t>
  </si>
  <si>
    <t>E03972</t>
  </si>
  <si>
    <t>Jordan Gomez</t>
  </si>
  <si>
    <t>E02189</t>
  </si>
  <si>
    <t>Isla Chavez</t>
  </si>
  <si>
    <t>E04290</t>
  </si>
  <si>
    <t>Hannah Gomez</t>
  </si>
  <si>
    <t>E03630</t>
  </si>
  <si>
    <t>Jacob Davis</t>
  </si>
  <si>
    <t>E00432</t>
  </si>
  <si>
    <t>Eli Gupta</t>
  </si>
  <si>
    <t>E03045</t>
  </si>
  <si>
    <t>Andrew Huynh</t>
  </si>
  <si>
    <t>E01924</t>
  </si>
  <si>
    <t>Anna Gutierrez</t>
  </si>
  <si>
    <t>E04877</t>
  </si>
  <si>
    <t>Samuel Vega</t>
  </si>
  <si>
    <t>E02770</t>
  </si>
  <si>
    <t>Liliana Do</t>
  </si>
  <si>
    <t>E04590</t>
  </si>
  <si>
    <t>Isaac Sanders</t>
  </si>
  <si>
    <t>E01977</t>
  </si>
  <si>
    <t>Raelynn Gupta</t>
  </si>
  <si>
    <t>E01378</t>
  </si>
  <si>
    <t>Genesis Xiong</t>
  </si>
  <si>
    <t>E04224</t>
  </si>
  <si>
    <t>Lucas Ramos</t>
  </si>
  <si>
    <t>E03423</t>
  </si>
  <si>
    <t>Santiago f Gonzalez</t>
  </si>
  <si>
    <t>Henry Zhu</t>
  </si>
  <si>
    <t>E00788</t>
  </si>
  <si>
    <t>Emily Contreras</t>
  </si>
  <si>
    <t>E00207</t>
  </si>
  <si>
    <t>Hailey Lai</t>
  </si>
  <si>
    <t>E00834</t>
  </si>
  <si>
    <t>Vivian Guzman</t>
  </si>
  <si>
    <t>E04571</t>
  </si>
  <si>
    <t>Hadley Contreras</t>
  </si>
  <si>
    <t>E02652</t>
  </si>
  <si>
    <t>Nathan Sun</t>
  </si>
  <si>
    <t>E02693</t>
  </si>
  <si>
    <t>Grace Campos</t>
  </si>
  <si>
    <t>E03359</t>
  </si>
  <si>
    <t>Autumn Ortiz</t>
  </si>
  <si>
    <t>E00399</t>
  </si>
  <si>
    <t>Connor Walker</t>
  </si>
  <si>
    <t>E02971</t>
  </si>
  <si>
    <t>Mia Wu</t>
  </si>
  <si>
    <t>E03327</t>
  </si>
  <si>
    <t>Julia Luong</t>
  </si>
  <si>
    <t>E00900</t>
  </si>
  <si>
    <t>Eleanor Delgado</t>
  </si>
  <si>
    <t>E00836</t>
  </si>
  <si>
    <t>Addison Roberts</t>
  </si>
  <si>
    <t>E03854</t>
  </si>
  <si>
    <t>Camila Li</t>
  </si>
  <si>
    <t>E04729</t>
  </si>
  <si>
    <t>Ezekiel Fong</t>
  </si>
  <si>
    <t>E00360</t>
  </si>
  <si>
    <t>Dylan Thao</t>
  </si>
  <si>
    <t>E02284</t>
  </si>
  <si>
    <t>Josephine Salazar</t>
  </si>
  <si>
    <t>E00181</t>
  </si>
  <si>
    <t>Genesis Hu</t>
  </si>
  <si>
    <t>E04168</t>
  </si>
  <si>
    <t>Mila Juarez</t>
  </si>
  <si>
    <t>E02861</t>
  </si>
  <si>
    <t>Daniel Perry</t>
  </si>
  <si>
    <t>E01357</t>
  </si>
  <si>
    <t>Paisley Hunter</t>
  </si>
  <si>
    <t>E04387</t>
  </si>
  <si>
    <t>Everleigh White</t>
  </si>
  <si>
    <t>E03090</t>
  </si>
  <si>
    <t>Penelope Choi</t>
  </si>
  <si>
    <t>E03591</t>
  </si>
  <si>
    <t>Piper Sun</t>
  </si>
  <si>
    <t>E03328</t>
  </si>
  <si>
    <t>Lucy Johnson</t>
  </si>
  <si>
    <t>E04937</t>
  </si>
  <si>
    <t>Ian Ngo</t>
  </si>
  <si>
    <t>E00515</t>
  </si>
  <si>
    <t>Joseph Vazquez</t>
  </si>
  <si>
    <t>E01241</t>
  </si>
  <si>
    <t>Hadley Guerrero</t>
  </si>
  <si>
    <t>E03255</t>
  </si>
  <si>
    <t>Jose Brown</t>
  </si>
  <si>
    <t>E01711</t>
  </si>
  <si>
    <t>Benjamin Ford</t>
  </si>
  <si>
    <t>E00500</t>
  </si>
  <si>
    <t>Henry Shah</t>
  </si>
  <si>
    <t>Ivy Daniels</t>
  </si>
  <si>
    <t>E02728</t>
  </si>
  <si>
    <t>Thomas Chang</t>
  </si>
  <si>
    <t>E04749</t>
  </si>
  <si>
    <t>Caroline Phan</t>
  </si>
  <si>
    <t>E02023</t>
  </si>
  <si>
    <t>Maverick Mehta</t>
  </si>
  <si>
    <t>E03166</t>
  </si>
  <si>
    <t>Austin Edwards</t>
  </si>
  <si>
    <t>E02599</t>
  </si>
  <si>
    <t>Daniel Huang</t>
  </si>
  <si>
    <t>E01014</t>
  </si>
  <si>
    <t>Lucas Phan</t>
  </si>
  <si>
    <t>E04529</t>
  </si>
  <si>
    <t>Gabriel Yu</t>
  </si>
  <si>
    <t>Mason Watson</t>
  </si>
  <si>
    <t>E00632</t>
  </si>
  <si>
    <t>Angel Chang</t>
  </si>
  <si>
    <t>E02108</t>
  </si>
  <si>
    <t>Madeline Coleman</t>
  </si>
  <si>
    <t>E03802</t>
  </si>
  <si>
    <t>Thomas Vazquez</t>
  </si>
  <si>
    <t>E03685</t>
  </si>
  <si>
    <t>Silas Hunter</t>
  </si>
  <si>
    <t>E01089</t>
  </si>
  <si>
    <t>Nicholas Brooks</t>
  </si>
  <si>
    <t>E03988</t>
  </si>
  <si>
    <t>Dominic Thomas</t>
  </si>
  <si>
    <t>E00401</t>
  </si>
  <si>
    <t>Wesley Adams</t>
  </si>
  <si>
    <t>E03429</t>
  </si>
  <si>
    <t>Ian Wu</t>
  </si>
  <si>
    <t>E02417</t>
  </si>
  <si>
    <t>Alice Young</t>
  </si>
  <si>
    <t>E00359</t>
  </si>
  <si>
    <t>Logan Carrillo</t>
  </si>
  <si>
    <t>E02044</t>
  </si>
  <si>
    <t>Caroline Alexander</t>
  </si>
  <si>
    <t>E01479</t>
  </si>
  <si>
    <t>Serenity Bailey</t>
  </si>
  <si>
    <t>E04962</t>
  </si>
  <si>
    <t>Elena Tan</t>
  </si>
  <si>
    <t>E02769</t>
  </si>
  <si>
    <t>Eliza Adams</t>
  </si>
  <si>
    <t>E03893</t>
  </si>
  <si>
    <t>Alice Xiong</t>
  </si>
  <si>
    <t>E00553</t>
  </si>
  <si>
    <t>Isla Yoon</t>
  </si>
  <si>
    <t>E03540</t>
  </si>
  <si>
    <t>Emma Perry</t>
  </si>
  <si>
    <t>Riley Marquez</t>
  </si>
  <si>
    <t>E03277</t>
  </si>
  <si>
    <t>Caroline Hu</t>
  </si>
  <si>
    <t>E04194</t>
  </si>
  <si>
    <t>Madison Kumar</t>
  </si>
  <si>
    <t>Matthew Lim</t>
  </si>
  <si>
    <t>E01762</t>
  </si>
  <si>
    <t>Maya Ngo</t>
  </si>
  <si>
    <t>E02632</t>
  </si>
  <si>
    <t>Alice Soto</t>
  </si>
  <si>
    <t>E04226</t>
  </si>
  <si>
    <t>Andrew Moore</t>
  </si>
  <si>
    <t>E04101</t>
  </si>
  <si>
    <t>Olivia Harris</t>
  </si>
  <si>
    <t>E01981</t>
  </si>
  <si>
    <t>Genesis Banks</t>
  </si>
  <si>
    <t>E02534</t>
  </si>
  <si>
    <t>Victoria Johnson</t>
  </si>
  <si>
    <t>E01238</t>
  </si>
  <si>
    <t>Eloise Griffin</t>
  </si>
  <si>
    <t>E01118</t>
  </si>
  <si>
    <t>Roman Yang</t>
  </si>
  <si>
    <t>E04041</t>
  </si>
  <si>
    <t>Clara Huynh</t>
  </si>
  <si>
    <t>E04308</t>
  </si>
  <si>
    <t>Kai Flores</t>
  </si>
  <si>
    <t>E01052</t>
  </si>
  <si>
    <t>Jaxson Dinh</t>
  </si>
  <si>
    <t>E04165</t>
  </si>
  <si>
    <t>Sophie Vang</t>
  </si>
  <si>
    <t>E02295</t>
  </si>
  <si>
    <t>Axel Jordan</t>
  </si>
  <si>
    <t>E04546</t>
  </si>
  <si>
    <t>Jade Hunter</t>
  </si>
  <si>
    <t>E04217</t>
  </si>
  <si>
    <t>Lydia Williams</t>
  </si>
  <si>
    <t>E00650</t>
  </si>
  <si>
    <t>Emery Chang</t>
  </si>
  <si>
    <t>E00344</t>
  </si>
  <si>
    <t>Savannah He</t>
  </si>
  <si>
    <t>E04645</t>
  </si>
  <si>
    <t>Elias Ahmed</t>
  </si>
  <si>
    <t>E03880</t>
  </si>
  <si>
    <t>Samantha Woods</t>
  </si>
  <si>
    <t>E02730</t>
  </si>
  <si>
    <t>Axel Soto</t>
  </si>
  <si>
    <t>E04517</t>
  </si>
  <si>
    <t>Amelia Choi</t>
  </si>
  <si>
    <t>E00965</t>
  </si>
  <si>
    <t>Jacob Khan</t>
  </si>
  <si>
    <t>E04639</t>
  </si>
  <si>
    <t>Luna Taylor</t>
  </si>
  <si>
    <t>E00465</t>
  </si>
  <si>
    <t>Dominic Parker</t>
  </si>
  <si>
    <t>E03058</t>
  </si>
  <si>
    <t>Angel Xiong</t>
  </si>
  <si>
    <t>E02337</t>
  </si>
  <si>
    <t>Emma Cao</t>
  </si>
  <si>
    <t>E04927</t>
  </si>
  <si>
    <t>Ezekiel Bryant</t>
  </si>
  <si>
    <t>E03799</t>
  </si>
  <si>
    <t>Natalie Hwang</t>
  </si>
  <si>
    <t>E04538</t>
  </si>
  <si>
    <t>Adeline Yang</t>
  </si>
  <si>
    <t>E02633</t>
  </si>
  <si>
    <t>Allison Roberts</t>
  </si>
  <si>
    <t>E02965</t>
  </si>
  <si>
    <t>Andrew Do</t>
  </si>
  <si>
    <t>E04345</t>
  </si>
  <si>
    <t>Eliana Grant</t>
  </si>
  <si>
    <t>E02895</t>
  </si>
  <si>
    <t>Mila Soto</t>
  </si>
  <si>
    <t>Gabriella Johnson</t>
  </si>
  <si>
    <t>E00758</t>
  </si>
  <si>
    <t>Jonathan Khan</t>
  </si>
  <si>
    <t>E03750</t>
  </si>
  <si>
    <t>Elias Dang</t>
  </si>
  <si>
    <t>E00144</t>
  </si>
  <si>
    <t>Theodore Ngo</t>
  </si>
  <si>
    <t>E02943</t>
  </si>
  <si>
    <t>Bella Lopez</t>
  </si>
  <si>
    <t>E03901</t>
  </si>
  <si>
    <t>Luca Truong</t>
  </si>
  <si>
    <t>E03461</t>
  </si>
  <si>
    <t>Nathan Lau</t>
  </si>
  <si>
    <t>E03490</t>
  </si>
  <si>
    <t>Henry Campos</t>
  </si>
  <si>
    <t>E04466</t>
  </si>
  <si>
    <t>Connor Bell</t>
  </si>
  <si>
    <t>E03226</t>
  </si>
  <si>
    <t>Angel Stewart</t>
  </si>
  <si>
    <t>E04607</t>
  </si>
  <si>
    <t>Landon Brown</t>
  </si>
  <si>
    <t>E02678</t>
  </si>
  <si>
    <t>Nicholas Rivera</t>
  </si>
  <si>
    <t>E02190</t>
  </si>
  <si>
    <t>Gabriel Carter</t>
  </si>
  <si>
    <t>E00747</t>
  </si>
  <si>
    <t>Leilani Baker</t>
  </si>
  <si>
    <t>E00268</t>
  </si>
  <si>
    <t>Ian Flores</t>
  </si>
  <si>
    <t>E01416</t>
  </si>
  <si>
    <t>Hudson Thompson</t>
  </si>
  <si>
    <t>E01524</t>
  </si>
  <si>
    <t>Ian Miller</t>
  </si>
  <si>
    <t>Harper Chin</t>
  </si>
  <si>
    <t>E02801</t>
  </si>
  <si>
    <t>Santiago f Brooks</t>
  </si>
  <si>
    <t>E04155</t>
  </si>
  <si>
    <t>Dylan Dominguez</t>
  </si>
  <si>
    <t>E01952</t>
  </si>
  <si>
    <t>Everett Lee</t>
  </si>
  <si>
    <t>E00116</t>
  </si>
  <si>
    <t>Madelyn Mehta</t>
  </si>
  <si>
    <t>E04811</t>
  </si>
  <si>
    <t>Athena Vasquez</t>
  </si>
  <si>
    <t>E00624</t>
  </si>
  <si>
    <t>William Watson</t>
  </si>
  <si>
    <t>E03404</t>
  </si>
  <si>
    <t>Everleigh Nunez</t>
  </si>
  <si>
    <t>E01845</t>
  </si>
  <si>
    <t>Leo Fernandez</t>
  </si>
  <si>
    <t>E04784</t>
  </si>
  <si>
    <t>Joshua Lin</t>
  </si>
  <si>
    <t>E00145</t>
  </si>
  <si>
    <t>Alexander Rivera</t>
  </si>
  <si>
    <t>E00218</t>
  </si>
  <si>
    <t>David Desai</t>
  </si>
  <si>
    <t>Aubrey Yoon</t>
  </si>
  <si>
    <t>Grayson Brown</t>
  </si>
  <si>
    <t>Noah Chen</t>
  </si>
  <si>
    <t>E00784</t>
  </si>
  <si>
    <t>Ella Nguyen</t>
  </si>
  <si>
    <t>E04925</t>
  </si>
  <si>
    <t>Athena Jordan</t>
  </si>
  <si>
    <t>E04448</t>
  </si>
  <si>
    <t>Adrian Ruiz</t>
  </si>
  <si>
    <t>E04817</t>
  </si>
  <si>
    <t>Zoe Sanchez</t>
  </si>
  <si>
    <t>E00325</t>
  </si>
  <si>
    <t>Jameson Chen</t>
  </si>
  <si>
    <t>E00403</t>
  </si>
  <si>
    <t>Liliana Soto</t>
  </si>
  <si>
    <t>Lincoln Reyes</t>
  </si>
  <si>
    <t>E04358</t>
  </si>
  <si>
    <t>Grayson Soto</t>
  </si>
  <si>
    <t>E04662</t>
  </si>
  <si>
    <t>Julia Morris</t>
  </si>
  <si>
    <t>E01496</t>
  </si>
  <si>
    <t>Ava Ortiz</t>
  </si>
  <si>
    <t>E01870</t>
  </si>
  <si>
    <t>Carson Chau</t>
  </si>
  <si>
    <t>E03971</t>
  </si>
  <si>
    <t>Lillian Chen</t>
  </si>
  <si>
    <t>E03616</t>
  </si>
  <si>
    <t>Josiah Lewis</t>
  </si>
  <si>
    <t>E00153</t>
  </si>
  <si>
    <t>Claire Jones</t>
  </si>
  <si>
    <t>E02313</t>
  </si>
  <si>
    <t>Jeremiah Lu</t>
  </si>
  <si>
    <t>E02960</t>
  </si>
  <si>
    <t>Nova Hill</t>
  </si>
  <si>
    <t>E00096</t>
  </si>
  <si>
    <t>Peyton Cruz</t>
  </si>
  <si>
    <t>E02140</t>
  </si>
  <si>
    <t>Naomi Zhao</t>
  </si>
  <si>
    <t>E00826</t>
  </si>
  <si>
    <t>Rylee Bui</t>
  </si>
  <si>
    <t>E03881</t>
  </si>
  <si>
    <t>Andrew Reed</t>
  </si>
  <si>
    <t>E02604</t>
  </si>
  <si>
    <t>Brooklyn Collins</t>
  </si>
  <si>
    <t>E02613</t>
  </si>
  <si>
    <t>John Jung</t>
  </si>
  <si>
    <t>E00864</t>
  </si>
  <si>
    <t>Samantha Aguilar</t>
  </si>
  <si>
    <t>E01760</t>
  </si>
  <si>
    <t>Madeline Acosta</t>
  </si>
  <si>
    <t>E03223</t>
  </si>
  <si>
    <t>Ethan Joseph</t>
  </si>
  <si>
    <t>E01262</t>
  </si>
  <si>
    <t>E01075</t>
  </si>
  <si>
    <t>Joshua Juarez</t>
  </si>
  <si>
    <t>E00364</t>
  </si>
  <si>
    <t>Matthew Howard</t>
  </si>
  <si>
    <t>E04108</t>
  </si>
  <si>
    <t>Jade Figueroa</t>
  </si>
  <si>
    <t>E02917</t>
  </si>
  <si>
    <t>Everett Morales</t>
  </si>
  <si>
    <t>Genesis Hunter</t>
  </si>
  <si>
    <t>E03393</t>
  </si>
  <si>
    <t>Henry Figueroa</t>
  </si>
  <si>
    <t>E02977</t>
  </si>
  <si>
    <t>Nicholas Song</t>
  </si>
  <si>
    <t>E03371</t>
  </si>
  <si>
    <t>Jack Alexander</t>
  </si>
  <si>
    <t>E02531</t>
  </si>
  <si>
    <t>Jameson Foster</t>
  </si>
  <si>
    <t>E02473</t>
  </si>
  <si>
    <t>Leonardo Lo</t>
  </si>
  <si>
    <t>E02468</t>
  </si>
  <si>
    <t>Ella Huang</t>
  </si>
  <si>
    <t>Liam Jordan</t>
  </si>
  <si>
    <t>E03697</t>
  </si>
  <si>
    <t>Isaac Woods</t>
  </si>
  <si>
    <t>E00593</t>
  </si>
  <si>
    <t>Luke Wilson</t>
  </si>
  <si>
    <t>E01103</t>
  </si>
  <si>
    <t>Lyla Alvarez</t>
  </si>
  <si>
    <t>E03889</t>
  </si>
  <si>
    <t>Caleb Flores</t>
  </si>
  <si>
    <t>E01958</t>
  </si>
  <si>
    <t>Angel Lin</t>
  </si>
  <si>
    <t>Easton Moore</t>
  </si>
  <si>
    <t>E01167</t>
  </si>
  <si>
    <t>Kinsley Collins</t>
  </si>
  <si>
    <t>E00099</t>
  </si>
  <si>
    <t>Brooklyn Salazar</t>
  </si>
  <si>
    <t>E00044</t>
  </si>
  <si>
    <t>Scarlett Jenkins</t>
  </si>
  <si>
    <t>E00711</t>
  </si>
  <si>
    <t>Melody Chin</t>
  </si>
  <si>
    <t>E04795</t>
  </si>
  <si>
    <t>Eloise Alexander</t>
  </si>
  <si>
    <t>E03912</t>
  </si>
  <si>
    <t>Carter Turner</t>
  </si>
  <si>
    <t>E02103</t>
  </si>
  <si>
    <t>Andrew Ma</t>
  </si>
  <si>
    <t>E04213</t>
  </si>
  <si>
    <t>Hailey Xi</t>
  </si>
  <si>
    <t>E04756</t>
  </si>
  <si>
    <t>Aiden Le</t>
  </si>
  <si>
    <t>E04114</t>
  </si>
  <si>
    <t>Christopher Lim</t>
  </si>
  <si>
    <t>E01423</t>
  </si>
  <si>
    <t>James Castillo</t>
  </si>
  <si>
    <t>E03181</t>
  </si>
  <si>
    <t>Greyson Dang</t>
  </si>
  <si>
    <t>E03305</t>
  </si>
  <si>
    <t>Hannah King</t>
  </si>
  <si>
    <t>E00703</t>
  </si>
  <si>
    <t>Wesley Dominguez</t>
  </si>
  <si>
    <t>E04403</t>
  </si>
  <si>
    <t>Dominic Hu</t>
  </si>
  <si>
    <t>E00103</t>
  </si>
  <si>
    <t>Nora Park</t>
  </si>
  <si>
    <t>E04487</t>
  </si>
  <si>
    <t>Audrey Hwang</t>
  </si>
  <si>
    <t>Ella Jenkins</t>
  </si>
  <si>
    <t>E02179</t>
  </si>
  <si>
    <t>Peyton Owens</t>
  </si>
  <si>
    <t>E04242</t>
  </si>
  <si>
    <t>Alice Lopez</t>
  </si>
  <si>
    <t>E01371</t>
  </si>
  <si>
    <t>Dominic Le</t>
  </si>
  <si>
    <t>E03065</t>
  </si>
  <si>
    <t>Ezra Ortiz</t>
  </si>
  <si>
    <t>E01377</t>
  </si>
  <si>
    <t>Grayson Luu</t>
  </si>
  <si>
    <t>E03097</t>
  </si>
  <si>
    <t>Brooks Stewart</t>
  </si>
  <si>
    <t>E01668</t>
  </si>
  <si>
    <t>Naomi Xi</t>
  </si>
  <si>
    <t>E03354</t>
  </si>
  <si>
    <t>Silas Estrada</t>
  </si>
  <si>
    <t>E02088</t>
  </si>
  <si>
    <t>Skylar Ayala</t>
  </si>
  <si>
    <t>E03980</t>
  </si>
  <si>
    <t>Lydia Huynh</t>
  </si>
  <si>
    <t>Hazel Cortez</t>
  </si>
  <si>
    <t>E00824</t>
  </si>
  <si>
    <t>Everleigh Adams</t>
  </si>
  <si>
    <t>Layla Salazar</t>
  </si>
  <si>
    <t>E03113</t>
  </si>
  <si>
    <t>Willow Chen</t>
  </si>
  <si>
    <t>E01488</t>
  </si>
  <si>
    <t>Penelope Griffin</t>
  </si>
  <si>
    <t>E01787</t>
  </si>
  <si>
    <t>Lillian Romero</t>
  </si>
  <si>
    <t>E03550</t>
  </si>
  <si>
    <t>Stella Wu</t>
  </si>
  <si>
    <t>Parker Vang</t>
  </si>
  <si>
    <t>E04799</t>
  </si>
  <si>
    <t>Mila Roberts</t>
  </si>
  <si>
    <t>E03402</t>
  </si>
  <si>
    <t>Isaac Liu</t>
  </si>
  <si>
    <t>E04128</t>
  </si>
  <si>
    <t>Jacob Doan</t>
  </si>
  <si>
    <t>Raelynn Ma</t>
  </si>
  <si>
    <t>E03114</t>
  </si>
  <si>
    <t>Jameson Juarez</t>
  </si>
  <si>
    <t>E04004</t>
  </si>
  <si>
    <t>Everleigh Shah</t>
  </si>
  <si>
    <t>E04472</t>
  </si>
  <si>
    <t>Alexander Foster</t>
  </si>
  <si>
    <t>E00161</t>
  </si>
  <si>
    <t>Ryan Ha</t>
  </si>
  <si>
    <t>E04417</t>
  </si>
  <si>
    <t>Chloe Salazar</t>
  </si>
  <si>
    <t>E04536</t>
  </si>
  <si>
    <t>Layla Scott</t>
  </si>
  <si>
    <t>Leah Khan</t>
  </si>
  <si>
    <t>E02857</t>
  </si>
  <si>
    <t>Mason Jimenez</t>
  </si>
  <si>
    <t>E03059</t>
  </si>
  <si>
    <t>Hailey Dang</t>
  </si>
  <si>
    <t>E02477</t>
  </si>
  <si>
    <t>Amelia Bui</t>
  </si>
  <si>
    <t>E00022</t>
  </si>
  <si>
    <t>Elena Her</t>
  </si>
  <si>
    <t>E03370</t>
  </si>
  <si>
    <t>Ian Cortez</t>
  </si>
  <si>
    <t>E00555</t>
  </si>
  <si>
    <t>Christian Ali</t>
  </si>
  <si>
    <t>E03160</t>
  </si>
  <si>
    <t>Carter Ortiz</t>
  </si>
  <si>
    <t>E03919</t>
  </si>
  <si>
    <t>Grayson Chan</t>
  </si>
  <si>
    <t>E01724</t>
  </si>
  <si>
    <t>Nolan Molina</t>
  </si>
  <si>
    <t>E04087</t>
  </si>
  <si>
    <t>Adam Kaur</t>
  </si>
  <si>
    <t>E02856</t>
  </si>
  <si>
    <t>Amelia Kaur</t>
  </si>
  <si>
    <t>E03805</t>
  </si>
  <si>
    <t>Autumn Gonzales</t>
  </si>
  <si>
    <t>E00319</t>
  </si>
  <si>
    <t>Ezra Wilson</t>
  </si>
  <si>
    <t>E01090</t>
  </si>
  <si>
    <t>Jacob Cheng</t>
  </si>
  <si>
    <t>E04323</t>
  </si>
  <si>
    <t>Melody Valdez</t>
  </si>
  <si>
    <t>E02687</t>
  </si>
  <si>
    <t>Caroline Nelson</t>
  </si>
  <si>
    <t>E01407</t>
  </si>
  <si>
    <t>Ellie Guerrero</t>
  </si>
  <si>
    <t>E02748</t>
  </si>
  <si>
    <t>Genesis Zhu</t>
  </si>
  <si>
    <t>E01995</t>
  </si>
  <si>
    <t>Jonathan Ho</t>
  </si>
  <si>
    <t>E01714</t>
  </si>
  <si>
    <t>Savannah Park</t>
  </si>
  <si>
    <t>E04491</t>
  </si>
  <si>
    <t>Nathan Chan</t>
  </si>
  <si>
    <t>E01076</t>
  </si>
  <si>
    <t>Sofia Vu</t>
  </si>
  <si>
    <t>Ruby Choi</t>
  </si>
  <si>
    <t>E02843</t>
  </si>
  <si>
    <t>Lily Pena</t>
  </si>
  <si>
    <t>E03758</t>
  </si>
  <si>
    <t>Liam Zhang</t>
  </si>
  <si>
    <t>E02063</t>
  </si>
  <si>
    <t>Ian Gutierrez</t>
  </si>
  <si>
    <t>E00638</t>
  </si>
  <si>
    <t>David Simmons</t>
  </si>
  <si>
    <t>E03571</t>
  </si>
  <si>
    <t>Lincoln Henderson</t>
  </si>
  <si>
    <t>E01820</t>
  </si>
  <si>
    <t>Nathan Miller</t>
  </si>
  <si>
    <t>E01712</t>
  </si>
  <si>
    <t>James Singh</t>
  </si>
  <si>
    <t>E00184</t>
  </si>
  <si>
    <t>Kayden Ortega</t>
  </si>
  <si>
    <t>Lucy Figueroa</t>
  </si>
  <si>
    <t>E02899</t>
  </si>
  <si>
    <t>Joshua Cortez</t>
  </si>
  <si>
    <t>E02478</t>
  </si>
  <si>
    <t>Alexander Morris</t>
  </si>
  <si>
    <t>E04170</t>
  </si>
  <si>
    <t>Grayson Chin</t>
  </si>
  <si>
    <t>E00929</t>
  </si>
  <si>
    <t>Allison Espinoza</t>
  </si>
  <si>
    <t>Naomi Chu</t>
  </si>
  <si>
    <t>Jameson Martin</t>
  </si>
  <si>
    <t>E02492</t>
  </si>
  <si>
    <t>Sebastian Gupta</t>
  </si>
  <si>
    <t>E01733</t>
  </si>
  <si>
    <t>Eloise Pham</t>
  </si>
  <si>
    <t>Valentina Davis</t>
  </si>
  <si>
    <t>E04938</t>
  </si>
  <si>
    <t>Brooklyn Daniels</t>
  </si>
  <si>
    <t>E04952</t>
  </si>
  <si>
    <t>Paisley Gomez</t>
  </si>
  <si>
    <t>E02420</t>
  </si>
  <si>
    <t>Madison Li</t>
  </si>
  <si>
    <t>Everleigh Simmons</t>
  </si>
  <si>
    <t>E03947</t>
  </si>
  <si>
    <t>Logan Soto</t>
  </si>
  <si>
    <t>E04535</t>
  </si>
  <si>
    <t>Charlotte Vo</t>
  </si>
  <si>
    <t>E00380</t>
  </si>
  <si>
    <t>Alice Thompson</t>
  </si>
  <si>
    <t>E01432</t>
  </si>
  <si>
    <t>Peyton Garza</t>
  </si>
  <si>
    <t>E02628</t>
  </si>
  <si>
    <t>Nora Nelson</t>
  </si>
  <si>
    <t>E03578</t>
  </si>
  <si>
    <t>Maverick Li</t>
  </si>
  <si>
    <t>E03563</t>
  </si>
  <si>
    <t>Ian Barnes</t>
  </si>
  <si>
    <t>E02781</t>
  </si>
  <si>
    <t>Athena Vu</t>
  </si>
  <si>
    <t>E04739</t>
  </si>
  <si>
    <t>Ruby Washington</t>
  </si>
  <si>
    <t>E02665</t>
  </si>
  <si>
    <t>Bella Butler</t>
  </si>
  <si>
    <t>E04132</t>
  </si>
  <si>
    <t>Kinsley Henry</t>
  </si>
  <si>
    <t>Kennedy Romero</t>
  </si>
  <si>
    <t>E04277</t>
  </si>
  <si>
    <t>Zoe Do</t>
  </si>
  <si>
    <t>Everett Khan</t>
  </si>
  <si>
    <t>E02012</t>
  </si>
  <si>
    <t>Anna Han</t>
  </si>
  <si>
    <t>E02881</t>
  </si>
  <si>
    <t>Leilani Sharma</t>
  </si>
  <si>
    <t>Jordan Cho</t>
  </si>
  <si>
    <t>E00605</t>
  </si>
  <si>
    <t>Nova Williams</t>
  </si>
  <si>
    <t>E04641</t>
  </si>
  <si>
    <t>Scarlett Hill</t>
  </si>
  <si>
    <t>E01019</t>
  </si>
  <si>
    <t>Dominic Scott</t>
  </si>
  <si>
    <t>E01519</t>
  </si>
  <si>
    <t>Anthony Marquez</t>
  </si>
  <si>
    <t>E03694</t>
  </si>
  <si>
    <t>Elena Patterson</t>
  </si>
  <si>
    <t>E01123</t>
  </si>
  <si>
    <t>Madison Nelson</t>
  </si>
  <si>
    <t>E01366</t>
  </si>
  <si>
    <t>William Walker</t>
  </si>
  <si>
    <t>E04005</t>
  </si>
  <si>
    <t>Lincoln Wong</t>
  </si>
  <si>
    <t>James Huang</t>
  </si>
  <si>
    <t>E04018</t>
  </si>
  <si>
    <t>Emery Ford</t>
  </si>
  <si>
    <t>E01591</t>
  </si>
  <si>
    <t>Paisley Trinh</t>
  </si>
  <si>
    <t>E04940</t>
  </si>
  <si>
    <t>Hudson Williams</t>
  </si>
  <si>
    <t>E03465</t>
  </si>
  <si>
    <t>Harper Phan</t>
  </si>
  <si>
    <t>E03870</t>
  </si>
  <si>
    <t>Madeline Allen</t>
  </si>
  <si>
    <t>E01927</t>
  </si>
  <si>
    <t>Charles Moore</t>
  </si>
  <si>
    <t>E03064</t>
  </si>
  <si>
    <t>Lincoln Fong</t>
  </si>
  <si>
    <t>E01883</t>
  </si>
  <si>
    <t>Isla Guzman</t>
  </si>
  <si>
    <t>E03984</t>
  </si>
  <si>
    <t>Hailey Foster</t>
  </si>
  <si>
    <t>E00446</t>
  </si>
  <si>
    <t>Hudson Hill</t>
  </si>
  <si>
    <t>E02825</t>
  </si>
  <si>
    <t>Wyatt Li</t>
  </si>
  <si>
    <t>E04174</t>
  </si>
  <si>
    <t>Maverick Henry</t>
  </si>
  <si>
    <t>E01899</t>
  </si>
  <si>
    <t>Xavier Jackson</t>
  </si>
  <si>
    <t>E02562</t>
  </si>
  <si>
    <t>Christian Medina</t>
  </si>
  <si>
    <t>E01006</t>
  </si>
  <si>
    <t>Autumn Leung</t>
  </si>
  <si>
    <t>E02903</t>
  </si>
  <si>
    <t>Robert Vazquez</t>
  </si>
  <si>
    <t>E03642</t>
  </si>
  <si>
    <t>Aria Roberts</t>
  </si>
  <si>
    <t>E02884</t>
  </si>
  <si>
    <t>Axel Johnson</t>
  </si>
  <si>
    <t>E00701</t>
  </si>
  <si>
    <t>Madeline Garcia</t>
  </si>
  <si>
    <t>E04720</t>
  </si>
  <si>
    <t>Christopher Chung</t>
  </si>
  <si>
    <t>E01985</t>
  </si>
  <si>
    <t>Eliana Turner</t>
  </si>
  <si>
    <t>E03273</t>
  </si>
  <si>
    <t>Daniel Shah</t>
  </si>
  <si>
    <t>E02415</t>
  </si>
  <si>
    <t>Penelope Gonzalez</t>
  </si>
  <si>
    <t>E02877</t>
  </si>
  <si>
    <t>Mila Allen</t>
  </si>
  <si>
    <t>E00091</t>
  </si>
  <si>
    <t>Emilia Chu</t>
  </si>
  <si>
    <t>E02563</t>
  </si>
  <si>
    <t>Emily Clark</t>
  </si>
  <si>
    <t>E04221</t>
  </si>
  <si>
    <t>Roman King</t>
  </si>
  <si>
    <t>E04887</t>
  </si>
  <si>
    <t>Emery Do</t>
  </si>
  <si>
    <t>E03170</t>
  </si>
  <si>
    <t>Autumn Thao</t>
  </si>
  <si>
    <t>E01636</t>
  </si>
  <si>
    <t>Naomi Coleman</t>
  </si>
  <si>
    <t>E01387</t>
  </si>
  <si>
    <t>Cora Zheng</t>
  </si>
  <si>
    <t>E01363</t>
  </si>
  <si>
    <t>Ayla Daniels</t>
  </si>
  <si>
    <t>E02249</t>
  </si>
  <si>
    <t>Allison Daniels</t>
  </si>
  <si>
    <t>E02987</t>
  </si>
  <si>
    <t>Mateo Harris</t>
  </si>
  <si>
    <t>E03655</t>
  </si>
  <si>
    <t>Samantha Rogers</t>
  </si>
  <si>
    <t>E04048</t>
  </si>
  <si>
    <t>Julian Lee</t>
  </si>
  <si>
    <t>E03626</t>
  </si>
  <si>
    <t>Nicholas Avila</t>
  </si>
  <si>
    <t>Hailey Watson</t>
  </si>
  <si>
    <t>E02920</t>
  </si>
  <si>
    <t>Willow Woods</t>
  </si>
  <si>
    <t>E03220</t>
  </si>
  <si>
    <t>Alexander Gonzales</t>
  </si>
  <si>
    <t>E01347</t>
  </si>
  <si>
    <t>Aiden Gonzales</t>
  </si>
  <si>
    <t>E03968</t>
  </si>
  <si>
    <t>Joshua Chin</t>
  </si>
  <si>
    <t>E04299</t>
  </si>
  <si>
    <t>Paisley Hall</t>
  </si>
  <si>
    <t>E01150</t>
  </si>
  <si>
    <t>Allison Leung</t>
  </si>
  <si>
    <t>E03774</t>
  </si>
  <si>
    <t>Hannah Mejia</t>
  </si>
  <si>
    <t>Elizabeth Huang</t>
  </si>
  <si>
    <t>E01877</t>
  </si>
  <si>
    <t>Abigail Garza</t>
  </si>
  <si>
    <t>E01193</t>
  </si>
  <si>
    <t>Raelynn Lu</t>
  </si>
  <si>
    <t>E01789</t>
  </si>
  <si>
    <t>Charles Luu</t>
  </si>
  <si>
    <t>E01422</t>
  </si>
  <si>
    <t>Lydia Espinoza</t>
  </si>
  <si>
    <t>Adeline Thao</t>
  </si>
  <si>
    <t>Kinsley Dixon</t>
  </si>
  <si>
    <t>E04150</t>
  </si>
  <si>
    <t>Natalia Vu</t>
  </si>
  <si>
    <t>E02846</t>
  </si>
  <si>
    <t>Julia Mai</t>
  </si>
  <si>
    <t>E04247</t>
  </si>
  <si>
    <t>Camila Evans</t>
  </si>
  <si>
    <t>Everly Lai</t>
  </si>
  <si>
    <t>Adam He</t>
  </si>
  <si>
    <t>E03648</t>
  </si>
  <si>
    <t>Vivian Hunter</t>
  </si>
  <si>
    <t>E02192</t>
  </si>
  <si>
    <t>Lucy Avila</t>
  </si>
  <si>
    <t>E03981</t>
  </si>
  <si>
    <t>Eliana Li</t>
  </si>
  <si>
    <t>E03262</t>
  </si>
  <si>
    <t>Logan Mitchell</t>
  </si>
  <si>
    <t>E02716</t>
  </si>
  <si>
    <t>Dominic Dinh</t>
  </si>
  <si>
    <t>Lucas Daniels</t>
  </si>
  <si>
    <t>E04123</t>
  </si>
  <si>
    <t>Andrew Holmes</t>
  </si>
  <si>
    <t>E03471</t>
  </si>
  <si>
    <t>Julia Sandoval</t>
  </si>
  <si>
    <t>E00717</t>
  </si>
  <si>
    <t>Kennedy Vargas</t>
  </si>
  <si>
    <t>E01966</t>
  </si>
  <si>
    <t>Thomas Williams</t>
  </si>
  <si>
    <t>E03683</t>
  </si>
  <si>
    <t>Raelynn Hong</t>
  </si>
  <si>
    <t>Eli Reed</t>
  </si>
  <si>
    <t>E04766</t>
  </si>
  <si>
    <t>Lyla Yoon</t>
  </si>
  <si>
    <t>E01465</t>
  </si>
  <si>
    <t>Hannah White</t>
  </si>
  <si>
    <t>E00206</t>
  </si>
  <si>
    <t>Theodore Xi</t>
  </si>
  <si>
    <t>E04088</t>
  </si>
  <si>
    <t>Ezra Liang</t>
  </si>
  <si>
    <t>E02066</t>
  </si>
  <si>
    <t>Grayson Yee</t>
  </si>
  <si>
    <t>E03227</t>
  </si>
  <si>
    <t>Eli Richardson</t>
  </si>
  <si>
    <t>E03364</t>
  </si>
  <si>
    <t>Audrey Lee</t>
  </si>
  <si>
    <t>E00607</t>
  </si>
  <si>
    <t>Jameson Allen</t>
  </si>
  <si>
    <t>E02258</t>
  </si>
  <si>
    <t>Eliza Chen</t>
  </si>
  <si>
    <t>E03681</t>
  </si>
  <si>
    <t>Lyla Chen</t>
  </si>
  <si>
    <t>E02298</t>
  </si>
  <si>
    <t>Emily Doan</t>
  </si>
  <si>
    <t>E02984</t>
  </si>
  <si>
    <t>Jack Mai</t>
  </si>
  <si>
    <t>E02440</t>
  </si>
  <si>
    <t>Grayson Turner</t>
  </si>
  <si>
    <t>E04699</t>
  </si>
  <si>
    <t>Ivy Tang</t>
  </si>
  <si>
    <t>E03579</t>
  </si>
  <si>
    <t>Robert Zhang</t>
  </si>
  <si>
    <t>E01649</t>
  </si>
  <si>
    <t>Eva Alvarado</t>
  </si>
  <si>
    <t>E04969</t>
  </si>
  <si>
    <t>Abigail Vang</t>
  </si>
  <si>
    <t>Claire Adams</t>
  </si>
  <si>
    <t>E00955</t>
  </si>
  <si>
    <t>Theodore Marquez</t>
  </si>
  <si>
    <t>E00810</t>
  </si>
  <si>
    <t>Hunter Nunez</t>
  </si>
  <si>
    <t>E02798</t>
  </si>
  <si>
    <t>Charles Henderson</t>
  </si>
  <si>
    <t>E04542</t>
  </si>
  <si>
    <t>Camila Cortez</t>
  </si>
  <si>
    <t>E02818</t>
  </si>
  <si>
    <t>Aaron Garza</t>
  </si>
  <si>
    <t>E02907</t>
  </si>
  <si>
    <t>Jose Singh</t>
  </si>
  <si>
    <t>E00023</t>
  </si>
  <si>
    <t>Gabriel Joseph</t>
  </si>
  <si>
    <t>E02391</t>
  </si>
  <si>
    <t>Natalia Santos</t>
  </si>
  <si>
    <t>E01429</t>
  </si>
  <si>
    <t>Dylan Wilson</t>
  </si>
  <si>
    <t>E00494</t>
  </si>
  <si>
    <t>Robert Alvarez</t>
  </si>
  <si>
    <t>E00634</t>
  </si>
  <si>
    <t>Samantha Chavez</t>
  </si>
  <si>
    <t>Samuel Bailey</t>
  </si>
  <si>
    <t>E04683</t>
  </si>
  <si>
    <t>Ezekiel Delgado</t>
  </si>
  <si>
    <t>Benjamin Ramirez</t>
  </si>
  <si>
    <t>E03834</t>
  </si>
  <si>
    <t>Anthony Carter</t>
  </si>
  <si>
    <t>E02923</t>
  </si>
  <si>
    <t>Ethan Tang</t>
  </si>
  <si>
    <t>E02642</t>
  </si>
  <si>
    <t>Sebastian Rogers</t>
  </si>
  <si>
    <t>E00981</t>
  </si>
  <si>
    <t>Miles Thao</t>
  </si>
  <si>
    <t>E04157</t>
  </si>
  <si>
    <t>William Cao</t>
  </si>
  <si>
    <t>E03528</t>
  </si>
  <si>
    <t>Leo Hsu</t>
  </si>
  <si>
    <t>E04547</t>
  </si>
  <si>
    <t>Avery Grant</t>
  </si>
  <si>
    <t>E04415</t>
  </si>
  <si>
    <t>Penelope Fong</t>
  </si>
  <si>
    <t>E04484</t>
  </si>
  <si>
    <t>Vivian Thao</t>
  </si>
  <si>
    <t>E02800</t>
  </si>
  <si>
    <t>Eva Estrada</t>
  </si>
  <si>
    <t>E04926</t>
  </si>
  <si>
    <t>Emma Luna</t>
  </si>
  <si>
    <t>E01268</t>
  </si>
  <si>
    <t>Charlotte Wu</t>
  </si>
  <si>
    <t>E04853</t>
  </si>
  <si>
    <t>Vivian Chu</t>
  </si>
  <si>
    <t>E01209</t>
  </si>
  <si>
    <t>Jayden Williams</t>
  </si>
  <si>
    <t>E02024</t>
  </si>
  <si>
    <t>Amelia Bell</t>
  </si>
  <si>
    <t>E02427</t>
  </si>
  <si>
    <t>Addison Mehta</t>
  </si>
  <si>
    <t>Alexander Jackson</t>
  </si>
  <si>
    <t>E00951</t>
  </si>
  <si>
    <t>Everly Lin</t>
  </si>
  <si>
    <t>E03248</t>
  </si>
  <si>
    <t>Lyla Stewart</t>
  </si>
  <si>
    <t>E04444</t>
  </si>
  <si>
    <t>Brooklyn Ruiz</t>
  </si>
  <si>
    <t>E02307</t>
  </si>
  <si>
    <t>Skylar Evans</t>
  </si>
  <si>
    <t>E02375</t>
  </si>
  <si>
    <t>Lincoln Huynh</t>
  </si>
  <si>
    <t>E02276</t>
  </si>
  <si>
    <t>Hazel Griffin</t>
  </si>
  <si>
    <t>E02649</t>
  </si>
  <si>
    <t>Charles Gonzalez</t>
  </si>
  <si>
    <t>E00503</t>
  </si>
  <si>
    <t>Leah Patterson</t>
  </si>
  <si>
    <t>E01706</t>
  </si>
  <si>
    <t>Avery Sun</t>
  </si>
  <si>
    <t>E00676</t>
  </si>
  <si>
    <t>Isaac Yoon</t>
  </si>
  <si>
    <t>E02005</t>
  </si>
  <si>
    <t>Isabella Bui</t>
  </si>
  <si>
    <t>E01895</t>
  </si>
  <si>
    <t>Gabriel Zhou</t>
  </si>
  <si>
    <t>E01396</t>
  </si>
  <si>
    <t>Jack Vu</t>
  </si>
  <si>
    <t>E00749</t>
  </si>
  <si>
    <t>Valentina Moua</t>
  </si>
  <si>
    <t>E01941</t>
  </si>
  <si>
    <t>Quinn Trinh</t>
  </si>
  <si>
    <t>E01413</t>
  </si>
  <si>
    <t>E03928</t>
  </si>
  <si>
    <t>Miles Dang</t>
  </si>
  <si>
    <t>E04109</t>
  </si>
  <si>
    <t>Leah Bryant</t>
  </si>
  <si>
    <t>E03994</t>
  </si>
  <si>
    <t>Henry Jung</t>
  </si>
  <si>
    <t>E00639</t>
  </si>
  <si>
    <t>Benjamin Mai</t>
  </si>
  <si>
    <t>E00608</t>
  </si>
  <si>
    <t>E04189</t>
  </si>
  <si>
    <t>Ariana Kim</t>
  </si>
  <si>
    <t>E02732</t>
  </si>
  <si>
    <t>Alice Tran</t>
  </si>
  <si>
    <t>E00324</t>
  </si>
  <si>
    <t>Hailey Song</t>
  </si>
  <si>
    <t>E00518</t>
  </si>
  <si>
    <t>Lydia Morales</t>
  </si>
  <si>
    <t>Liam Sanders</t>
  </si>
  <si>
    <t>E04564</t>
  </si>
  <si>
    <t>Luke Sanchez</t>
  </si>
  <si>
    <t>E02033</t>
  </si>
  <si>
    <t>Grace Sun</t>
  </si>
  <si>
    <t>E00412</t>
  </si>
  <si>
    <t>Ezra Banks</t>
  </si>
  <si>
    <t>E01844</t>
  </si>
  <si>
    <t>Jayden Kang</t>
  </si>
  <si>
    <t>E00667</t>
  </si>
  <si>
    <t>Skylar Shah</t>
  </si>
  <si>
    <t>Sebastian Le</t>
  </si>
  <si>
    <t>E00287</t>
  </si>
  <si>
    <t>Luca Nelson</t>
  </si>
  <si>
    <t>E02235</t>
  </si>
  <si>
    <t>Riley Ramirez</t>
  </si>
  <si>
    <t>E02720</t>
  </si>
  <si>
    <t>Jaxon Fong</t>
  </si>
  <si>
    <t>Kayden Jordan</t>
  </si>
  <si>
    <t>E01188</t>
  </si>
  <si>
    <t>Alexander James</t>
  </si>
  <si>
    <t>E02428</t>
  </si>
  <si>
    <t>Connor Luu</t>
  </si>
  <si>
    <t>E03289</t>
  </si>
  <si>
    <t>Christopher Lam</t>
  </si>
  <si>
    <t>E01947</t>
  </si>
  <si>
    <t>Sophie Owens</t>
  </si>
  <si>
    <t>Addison Perez</t>
  </si>
  <si>
    <t>E04249</t>
  </si>
  <si>
    <t>Hadley Dang</t>
  </si>
  <si>
    <t>Ethan Mehta</t>
  </si>
  <si>
    <t>Madison Her</t>
  </si>
  <si>
    <t>E04363</t>
  </si>
  <si>
    <t>Savannah Singh</t>
  </si>
  <si>
    <t>E04920</t>
  </si>
  <si>
    <t>Nevaeh Hsu</t>
  </si>
  <si>
    <t>E03866</t>
  </si>
  <si>
    <t>Jordan Zhu</t>
  </si>
  <si>
    <t>E03521</t>
  </si>
  <si>
    <t>Jackson Navarro</t>
  </si>
  <si>
    <t>E04095</t>
  </si>
  <si>
    <t>Sadie Patterson</t>
  </si>
  <si>
    <t>E04079</t>
  </si>
  <si>
    <t>Christopher Butler</t>
  </si>
  <si>
    <t>E01508</t>
  </si>
  <si>
    <t>Penelope Rodriguez</t>
  </si>
  <si>
    <t>E02259</t>
  </si>
  <si>
    <t>Emily Lau</t>
  </si>
  <si>
    <t>Sophie Oh</t>
  </si>
  <si>
    <t>E01834</t>
  </si>
  <si>
    <t>Chloe Allen</t>
  </si>
  <si>
    <t>E03124</t>
  </si>
  <si>
    <t>Caleb Nelson</t>
  </si>
  <si>
    <t>E01898</t>
  </si>
  <si>
    <t>Oliver Moua</t>
  </si>
  <si>
    <t>E00342</t>
  </si>
  <si>
    <t>Wesley Doan</t>
  </si>
  <si>
    <t>E03910</t>
  </si>
  <si>
    <t>Nova Hsu</t>
  </si>
  <si>
    <t>E00862</t>
  </si>
  <si>
    <t>Levi Moreno</t>
  </si>
  <si>
    <t>E02576</t>
  </si>
  <si>
    <t>Gianna Ha</t>
  </si>
  <si>
    <t>E00035</t>
  </si>
  <si>
    <t>Lillian Gonzales</t>
  </si>
  <si>
    <t>E01832</t>
  </si>
  <si>
    <t>Ezra Singh</t>
  </si>
  <si>
    <t>E01755</t>
  </si>
  <si>
    <t>Audrey Patel</t>
  </si>
  <si>
    <t>Brooklyn Cho</t>
  </si>
  <si>
    <t>Piper Ramos</t>
  </si>
  <si>
    <t>E04697</t>
  </si>
  <si>
    <t>Eleanor Williams</t>
  </si>
  <si>
    <t>E00371</t>
  </si>
  <si>
    <t>Melody Grant</t>
  </si>
  <si>
    <t>E02992</t>
  </si>
  <si>
    <t>Paisley Sanders</t>
  </si>
  <si>
    <t>E04369</t>
  </si>
  <si>
    <t>Santiago f Gray</t>
  </si>
  <si>
    <t>E00592</t>
  </si>
  <si>
    <t>Josephine Richardson</t>
  </si>
  <si>
    <t>E03532</t>
  </si>
  <si>
    <t>Jaxson Santiago</t>
  </si>
  <si>
    <t>E00863</t>
  </si>
  <si>
    <t>Lincoln Ramos</t>
  </si>
  <si>
    <t>E03310</t>
  </si>
  <si>
    <t>Dylan Campbell</t>
  </si>
  <si>
    <t>Olivia Gray</t>
  </si>
  <si>
    <t>E01242</t>
  </si>
  <si>
    <t>Emery Doan</t>
  </si>
  <si>
    <t>E02535</t>
  </si>
  <si>
    <t>Caroline Perez</t>
  </si>
  <si>
    <t>E00369</t>
  </si>
  <si>
    <t>Genesis Woods</t>
  </si>
  <si>
    <t>E03332</t>
  </si>
  <si>
    <t>Ruby Sun</t>
  </si>
  <si>
    <t>E03278</t>
  </si>
  <si>
    <t>Nevaeh James</t>
  </si>
  <si>
    <t>Parker Sandoval</t>
  </si>
  <si>
    <t>E03055</t>
  </si>
  <si>
    <t>Austin Rojas</t>
  </si>
  <si>
    <t>E01943</t>
  </si>
  <si>
    <t>Vivian Espinoza</t>
  </si>
  <si>
    <t>Cooper Gupta</t>
  </si>
  <si>
    <t>Axel Santos</t>
  </si>
  <si>
    <t>E04637</t>
  </si>
  <si>
    <t>Samuel Song</t>
  </si>
  <si>
    <t>E03240</t>
  </si>
  <si>
    <t>Aiden Silva</t>
  </si>
  <si>
    <t>E00340</t>
  </si>
  <si>
    <t>Eliana Allen</t>
  </si>
  <si>
    <t>E04751</t>
  </si>
  <si>
    <t>Grayson James</t>
  </si>
  <si>
    <t>E04636</t>
  </si>
  <si>
    <t>Hailey Yee</t>
  </si>
  <si>
    <t>Ian Vargas</t>
  </si>
  <si>
    <t>E02938</t>
  </si>
  <si>
    <t>John Trinh</t>
  </si>
  <si>
    <t>Sofia Trinh</t>
  </si>
  <si>
    <t>E01111</t>
  </si>
  <si>
    <t>Santiago f Moua</t>
  </si>
  <si>
    <t>E03149</t>
  </si>
  <si>
    <t>Layla Collins</t>
  </si>
  <si>
    <t>E00952</t>
  </si>
  <si>
    <t>Jaxon Powell</t>
  </si>
  <si>
    <t>E04380</t>
  </si>
  <si>
    <t>Naomi Washington</t>
  </si>
  <si>
    <t>Ryan Holmes</t>
  </si>
  <si>
    <t>E04994</t>
  </si>
  <si>
    <t>Bella Holmes</t>
  </si>
  <si>
    <t>E00447</t>
  </si>
  <si>
    <t>Hailey Sanchez</t>
  </si>
  <si>
    <t>E00089</t>
  </si>
  <si>
    <t>Sofia Yoon</t>
  </si>
  <si>
    <t>E02035</t>
  </si>
  <si>
    <t>Eli Rahman</t>
  </si>
  <si>
    <t>E03595</t>
  </si>
  <si>
    <t>Christopher Howard</t>
  </si>
  <si>
    <t>E03611</t>
  </si>
  <si>
    <t>Alice Mehta</t>
  </si>
  <si>
    <t>E04464</t>
  </si>
  <si>
    <t>Cooper Yoon</t>
  </si>
  <si>
    <t>E02135</t>
  </si>
  <si>
    <t>John Delgado</t>
  </si>
  <si>
    <t>E01684</t>
  </si>
  <si>
    <t>Jaxson Liang</t>
  </si>
  <si>
    <t>E02968</t>
  </si>
  <si>
    <t>Caroline Santos</t>
  </si>
  <si>
    <t>E03362</t>
  </si>
  <si>
    <t>Lily Henderson</t>
  </si>
  <si>
    <t>E01108</t>
  </si>
  <si>
    <t>Hannah Martinez</t>
  </si>
  <si>
    <t>E02217</t>
  </si>
  <si>
    <t>William Phillips</t>
  </si>
  <si>
    <t>E03519</t>
  </si>
  <si>
    <t>Eliza Zheng</t>
  </si>
  <si>
    <t>E01967</t>
  </si>
  <si>
    <t>John Dang</t>
  </si>
  <si>
    <t>E01125</t>
  </si>
  <si>
    <t>Joshua Yang</t>
  </si>
  <si>
    <t>E03795</t>
  </si>
  <si>
    <t>Hazel Young</t>
  </si>
  <si>
    <t>E00508</t>
  </si>
  <si>
    <t>Thomas Jung</t>
  </si>
  <si>
    <t>E02047</t>
  </si>
  <si>
    <t>Xavier Perez</t>
  </si>
  <si>
    <t>E01582</t>
  </si>
  <si>
    <t>Elijah Coleman</t>
  </si>
  <si>
    <t>Clara Sanchez</t>
  </si>
  <si>
    <t>E04872</t>
  </si>
  <si>
    <t>Isaac Stewart</t>
  </si>
  <si>
    <t>E03159</t>
  </si>
  <si>
    <t>Claire Romero</t>
  </si>
  <si>
    <t>E01337</t>
  </si>
  <si>
    <t>Andrew Coleman</t>
  </si>
  <si>
    <t>E00102</t>
  </si>
  <si>
    <t>Riley Rojas</t>
  </si>
  <si>
    <t>E03637</t>
  </si>
  <si>
    <t>Landon Thao</t>
  </si>
  <si>
    <t>E03455</t>
  </si>
  <si>
    <t>Hadley Ford</t>
  </si>
  <si>
    <t>Austin Brown</t>
  </si>
  <si>
    <t>E01225</t>
  </si>
  <si>
    <t>Christian Fong</t>
  </si>
  <si>
    <t>E01264</t>
  </si>
  <si>
    <t>Hazel Alvarez</t>
  </si>
  <si>
    <t>E02274</t>
  </si>
  <si>
    <t>Isabella Bailey</t>
  </si>
  <si>
    <t>E00480</t>
  </si>
  <si>
    <t>Hadley Yee</t>
  </si>
  <si>
    <t>E00203</t>
  </si>
  <si>
    <t>Julia Doan</t>
  </si>
  <si>
    <t>E00647</t>
  </si>
  <si>
    <t>Dylan Ali</t>
  </si>
  <si>
    <t>E03296</t>
  </si>
  <si>
    <t>Eloise Trinh</t>
  </si>
  <si>
    <t>E02453</t>
  </si>
  <si>
    <t>Dylan Kumar</t>
  </si>
  <si>
    <t>Emily Gupta</t>
  </si>
  <si>
    <t>E02522</t>
  </si>
  <si>
    <t>Silas Rivera</t>
  </si>
  <si>
    <t>E00459</t>
  </si>
  <si>
    <t>Jackson Jordan</t>
  </si>
  <si>
    <t>E03007</t>
  </si>
  <si>
    <t>Isaac Joseph</t>
  </si>
  <si>
    <t>Leilani Thao</t>
  </si>
  <si>
    <t>E03863</t>
  </si>
  <si>
    <t>Madeline Watson</t>
  </si>
  <si>
    <t>E02710</t>
  </si>
  <si>
    <t>Silas Huang</t>
  </si>
  <si>
    <t>Peyton Walker</t>
  </si>
  <si>
    <t>E01339</t>
  </si>
  <si>
    <t>Jeremiah Hernandez</t>
  </si>
  <si>
    <t>Jace Washington</t>
  </si>
  <si>
    <t>E03379</t>
  </si>
  <si>
    <t>Landon Kim</t>
  </si>
  <si>
    <t>E02153</t>
  </si>
  <si>
    <t>Peyton Vasquez</t>
  </si>
  <si>
    <t>E00994</t>
  </si>
  <si>
    <t>Charlotte Baker</t>
  </si>
  <si>
    <t>E00943</t>
  </si>
  <si>
    <t>Elena Mendoza</t>
  </si>
  <si>
    <t>E00869</t>
  </si>
  <si>
    <t>Nova Lin</t>
  </si>
  <si>
    <t>E03457</t>
  </si>
  <si>
    <t>Ivy Desai</t>
  </si>
  <si>
    <t>E02193</t>
  </si>
  <si>
    <t>Josephine Acosta</t>
  </si>
  <si>
    <t>E00577</t>
  </si>
  <si>
    <t>Nora Nunez</t>
  </si>
  <si>
    <t>E00538</t>
  </si>
  <si>
    <t>Caleb Xiong</t>
  </si>
  <si>
    <t>E01415</t>
  </si>
  <si>
    <t>Henry Green</t>
  </si>
  <si>
    <t>Madelyn Chan</t>
  </si>
  <si>
    <t>E00225</t>
  </si>
  <si>
    <t>Angel Delgado</t>
  </si>
  <si>
    <t>E02889</t>
  </si>
  <si>
    <t>Mia Herrera</t>
  </si>
  <si>
    <t>E04978</t>
  </si>
  <si>
    <t>Peyton Harris</t>
  </si>
  <si>
    <t>E04163</t>
  </si>
  <si>
    <t>David Herrera</t>
  </si>
  <si>
    <t>E01652</t>
  </si>
  <si>
    <t>Avery Dominguez</t>
  </si>
  <si>
    <t>E00880</t>
  </si>
  <si>
    <t>Grace Carter</t>
  </si>
  <si>
    <t>E04335</t>
  </si>
  <si>
    <t>Parker Allen</t>
  </si>
  <si>
    <t>E01300</t>
  </si>
  <si>
    <t>Sadie Lee</t>
  </si>
  <si>
    <t>E03102</t>
  </si>
  <si>
    <t>Cooper Valdez</t>
  </si>
  <si>
    <t>E04089</t>
  </si>
  <si>
    <t>Sebastian Fong</t>
  </si>
  <si>
    <t>E02059</t>
  </si>
  <si>
    <t>Roman Munoz</t>
  </si>
  <si>
    <t>E03894</t>
  </si>
  <si>
    <t>Charlotte Chang</t>
  </si>
  <si>
    <t>E03106</t>
  </si>
  <si>
    <t>Xavier Davis</t>
  </si>
  <si>
    <t>E01350</t>
  </si>
  <si>
    <t>Natalie Carter</t>
  </si>
  <si>
    <t>E02900</t>
  </si>
  <si>
    <t>Elena Richardson</t>
  </si>
  <si>
    <t>E02202</t>
  </si>
  <si>
    <t>Emilia Bailey</t>
  </si>
  <si>
    <t>E02696</t>
  </si>
  <si>
    <t>Ryan Lu</t>
  </si>
  <si>
    <t>E01722</t>
  </si>
  <si>
    <t>Asher Huynh</t>
  </si>
  <si>
    <t>Kinsley Martinez</t>
  </si>
  <si>
    <t>E00640</t>
  </si>
  <si>
    <t>Paisley Bryant</t>
  </si>
  <si>
    <t>E02554</t>
  </si>
  <si>
    <t>Joshua Ramirez</t>
  </si>
  <si>
    <t>E03412</t>
  </si>
  <si>
    <t>Joshua Martin</t>
  </si>
  <si>
    <t>E00646</t>
  </si>
  <si>
    <t>E04670</t>
  </si>
  <si>
    <t>Angel Do</t>
  </si>
  <si>
    <t>E03580</t>
  </si>
  <si>
    <t>Maverick Medina</t>
  </si>
  <si>
    <t>Isaac Han</t>
  </si>
  <si>
    <t>E02363</t>
  </si>
  <si>
    <t>Eliza Liang</t>
  </si>
  <si>
    <t>E03718</t>
  </si>
  <si>
    <t>Zoe Zhou</t>
  </si>
  <si>
    <t>E01749</t>
  </si>
  <si>
    <t>Nathan Lee</t>
  </si>
  <si>
    <t>E02888</t>
  </si>
  <si>
    <t>Elijah Ramos</t>
  </si>
  <si>
    <t>E01338</t>
  </si>
  <si>
    <t>Jaxson Coleman</t>
  </si>
  <si>
    <t>E03000</t>
  </si>
  <si>
    <t>Hailey Hong</t>
  </si>
  <si>
    <t>E01611</t>
  </si>
  <si>
    <t>Gabriella Zhu</t>
  </si>
  <si>
    <t>E02684</t>
  </si>
  <si>
    <t>Aaron Maldonado</t>
  </si>
  <si>
    <t>E02561</t>
  </si>
  <si>
    <t>Samantha Vargas</t>
  </si>
  <si>
    <t>E03168</t>
  </si>
  <si>
    <t>Nora Le</t>
  </si>
  <si>
    <t>Alice Roberts</t>
  </si>
  <si>
    <t>E03691</t>
  </si>
  <si>
    <t>Colton Garcia</t>
  </si>
  <si>
    <t>Stella Lai</t>
  </si>
  <si>
    <t>Leonardo Luong</t>
  </si>
  <si>
    <t>Nicholas Wong</t>
  </si>
  <si>
    <t>E00282</t>
  </si>
  <si>
    <t>Jeremiah Castillo</t>
  </si>
  <si>
    <t>Cooper Jiang</t>
  </si>
  <si>
    <t>E00559</t>
  </si>
  <si>
    <t>Penelope Silva</t>
  </si>
  <si>
    <t>E02558</t>
  </si>
  <si>
    <t>Jose Richardson</t>
  </si>
  <si>
    <t>E00956</t>
  </si>
  <si>
    <t>Eleanor Chau</t>
  </si>
  <si>
    <t>E03858</t>
  </si>
  <si>
    <t>John Cho</t>
  </si>
  <si>
    <t>E02221</t>
  </si>
  <si>
    <t>Julian Delgado</t>
  </si>
  <si>
    <t>E00126</t>
  </si>
  <si>
    <t>Isabella Scott</t>
  </si>
  <si>
    <t>E02627</t>
  </si>
  <si>
    <t>Parker Avila</t>
  </si>
  <si>
    <t>E03778</t>
  </si>
  <si>
    <t>Luke Vu</t>
  </si>
  <si>
    <t>E00481</t>
  </si>
  <si>
    <t>Jameson Nelson</t>
  </si>
  <si>
    <t>E02833</t>
  </si>
  <si>
    <t>Adrian Fernandez</t>
  </si>
  <si>
    <t>E03902</t>
  </si>
  <si>
    <t>Madison Hunter</t>
  </si>
  <si>
    <t>E02310</t>
  </si>
  <si>
    <t>Jordan Phillips</t>
  </si>
  <si>
    <t>E02661</t>
  </si>
  <si>
    <t>Maya Chan</t>
  </si>
  <si>
    <t>Wesley King</t>
  </si>
  <si>
    <t>E00682</t>
  </si>
  <si>
    <t>Sofia Fernandez</t>
  </si>
  <si>
    <t>Maverick Figueroa</t>
  </si>
  <si>
    <t>E00785</t>
  </si>
  <si>
    <t>Hannah Hoang</t>
  </si>
  <si>
    <t>E04598</t>
  </si>
  <si>
    <t>Violet Garcia</t>
  </si>
  <si>
    <t>Aaliyah Mai</t>
  </si>
  <si>
    <t>E02703</t>
  </si>
  <si>
    <t>Austin Vang</t>
  </si>
  <si>
    <t>E02191</t>
  </si>
  <si>
    <t>Maria Sun</t>
  </si>
  <si>
    <t>E00156</t>
  </si>
  <si>
    <t>Madelyn Scott</t>
  </si>
  <si>
    <t>Dylan Chin</t>
  </si>
  <si>
    <t>E04032</t>
  </si>
  <si>
    <t>Emery Zhang</t>
  </si>
  <si>
    <t>E00005</t>
  </si>
  <si>
    <t>Riley Washington</t>
  </si>
  <si>
    <t>E04354</t>
  </si>
  <si>
    <t>Raelynn Rios</t>
  </si>
  <si>
    <t>E01578</t>
  </si>
  <si>
    <t>Anthony Hong</t>
  </si>
  <si>
    <t>E03430</t>
  </si>
  <si>
    <t>Leo Herrera</t>
  </si>
  <si>
    <t>Robert Wright</t>
  </si>
  <si>
    <t>E04762</t>
  </si>
  <si>
    <t>Audrey Richardson</t>
  </si>
  <si>
    <t>E01148</t>
  </si>
  <si>
    <t>Scarlett Kumar</t>
  </si>
  <si>
    <t>E03094</t>
  </si>
  <si>
    <t>Wesley Young</t>
  </si>
  <si>
    <t>E01909</t>
  </si>
  <si>
    <t>Lillian Khan</t>
  </si>
  <si>
    <t>E04398</t>
  </si>
  <si>
    <t>Oliver Yang</t>
  </si>
  <si>
    <t>E02521</t>
  </si>
  <si>
    <t>Lily Nguyen</t>
  </si>
  <si>
    <t>E03545</t>
  </si>
  <si>
    <t>Sofia Cheng</t>
  </si>
  <si>
    <t>Q1 (Total Annual Salary)</t>
  </si>
  <si>
    <t>Q2 (Total Bonus)</t>
  </si>
  <si>
    <t>Bonus</t>
  </si>
  <si>
    <t>Q3 (Total Salary for IT Dept)</t>
  </si>
  <si>
    <t>edec</t>
  </si>
  <si>
    <t>Q4 (Total Salary for R&amp;D Under IT Dept)</t>
  </si>
  <si>
    <t>Q5 (Number of Female Employees)</t>
  </si>
  <si>
    <t>Q7 (Number of Female employees working in IT Dept)</t>
  </si>
  <si>
    <t>Q6 (Number of Employees in IT Dept)</t>
  </si>
  <si>
    <t>Q8 (Average Annual Salary for Female Employee)</t>
  </si>
  <si>
    <t>Q9 (Average Annual Salary for Finance Dept)</t>
  </si>
  <si>
    <t>Q10 (Average Annual Salary of Female Employees in IT Dept)</t>
  </si>
  <si>
    <t>Q11 (Number of employees having salary greater than $100,000)</t>
  </si>
  <si>
    <t>Q12 (Highest bonus percentage given to an employee)</t>
  </si>
  <si>
    <t>Q13 (Number of employee form Chicago)</t>
  </si>
  <si>
    <t>Q14 (Employees from IT Dept of having salary more than $1,00,000)</t>
  </si>
  <si>
    <t>Q15 ( Create a new column that shows senior for age &gt; 50 else juinor)</t>
  </si>
  <si>
    <t>Category</t>
  </si>
  <si>
    <t>Q16 (Number of employees who are not located in United States)</t>
  </si>
  <si>
    <t>Q17 (Employees that have salary less than $90,000 and are not from IT Department)</t>
  </si>
  <si>
    <t>Q18 (Cloumn that shows employees from IT Dept or having salary $100000</t>
  </si>
  <si>
    <t>Q18</t>
  </si>
  <si>
    <t>Ishaan Tyagi</t>
  </si>
  <si>
    <t xml:space="preserve">ishaan tyagi </t>
  </si>
  <si>
    <t>jaipur</t>
  </si>
  <si>
    <t>len</t>
  </si>
  <si>
    <t>left</t>
  </si>
  <si>
    <t>trim</t>
  </si>
  <si>
    <t>right</t>
  </si>
  <si>
    <t xml:space="preserve">mid </t>
  </si>
  <si>
    <t>upper</t>
  </si>
  <si>
    <t>lower</t>
  </si>
  <si>
    <t>find</t>
  </si>
  <si>
    <t xml:space="preserve">search </t>
  </si>
  <si>
    <t>concat</t>
  </si>
  <si>
    <t>replace</t>
  </si>
  <si>
    <t>substitute</t>
  </si>
  <si>
    <t>proper</t>
  </si>
  <si>
    <t>Case Sensitive</t>
  </si>
  <si>
    <t>Akansha Srivastav</t>
  </si>
  <si>
    <t>Shantanu Tyagi</t>
  </si>
  <si>
    <t xml:space="preserve">Full Name </t>
  </si>
  <si>
    <t>First Name</t>
  </si>
  <si>
    <t>Last Name</t>
  </si>
  <si>
    <t>Today -&gt;</t>
  </si>
  <si>
    <t>Now -&gt;</t>
  </si>
  <si>
    <t xml:space="preserve">Year -&gt; </t>
  </si>
  <si>
    <t xml:space="preserve">Month -&gt; </t>
  </si>
  <si>
    <t xml:space="preserve">Date -&gt; </t>
  </si>
  <si>
    <t>Date (Combining above 3)</t>
  </si>
  <si>
    <t>Month -&gt;</t>
  </si>
  <si>
    <t xml:space="preserve">Full Date </t>
  </si>
  <si>
    <t xml:space="preserve">Hour </t>
  </si>
  <si>
    <t xml:space="preserve">Minute </t>
  </si>
  <si>
    <t>Second</t>
  </si>
  <si>
    <t>Subtracting dates (By using '-')</t>
  </si>
  <si>
    <t>Subtracting 2 Dates</t>
  </si>
  <si>
    <t xml:space="preserve">Adding Months </t>
  </si>
  <si>
    <t xml:space="preserve">Start Date </t>
  </si>
  <si>
    <t>End Date</t>
  </si>
  <si>
    <t xml:space="preserve">Network Days </t>
  </si>
  <si>
    <t xml:space="preserve">End Of Month </t>
  </si>
  <si>
    <t>Year</t>
  </si>
  <si>
    <t>Round-off</t>
  </si>
  <si>
    <t>Floor</t>
  </si>
  <si>
    <t>Ceil</t>
  </si>
  <si>
    <t>Sqaure root</t>
  </si>
  <si>
    <t>Power</t>
  </si>
  <si>
    <t>IfError</t>
  </si>
  <si>
    <t>ishaan.com</t>
  </si>
  <si>
    <t>akansha.com</t>
  </si>
  <si>
    <t>shantanu.com</t>
  </si>
  <si>
    <t>abc@gmail.com</t>
  </si>
  <si>
    <t>Original Price</t>
  </si>
  <si>
    <t>Discount</t>
  </si>
  <si>
    <t>Rs. 200</t>
  </si>
  <si>
    <t>Sample</t>
  </si>
  <si>
    <t>a</t>
  </si>
  <si>
    <t>b</t>
  </si>
  <si>
    <t>c</t>
  </si>
  <si>
    <t>d</t>
  </si>
  <si>
    <t>e</t>
  </si>
  <si>
    <t>f</t>
  </si>
  <si>
    <t>g</t>
  </si>
  <si>
    <t>h</t>
  </si>
  <si>
    <t>Students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</si>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</sst>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#,##0%_);\(#,##0%\);0%_)"/>
    <numFmt numFmtId="165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DB182"/>
        <bgColor indexed="64"/>
      </patternFill>
    </fill>
  </fills>
  <borders count="4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14" fontId="1" fillId="2" borderId="3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9" fontId="0" fillId="0" borderId="0" xfId="2" applyFont="1"/>
    <xf numFmtId="1" fontId="1" fillId="2" borderId="2" xfId="0" applyNumberFormat="1" applyFont="1" applyFill="1" applyBorder="1" applyAlignment="1">
      <alignment horizontal="left"/>
    </xf>
    <xf numFmtId="1" fontId="0" fillId="0" borderId="0" xfId="0" applyNumberFormat="1"/>
    <xf numFmtId="22" fontId="0" fillId="0" borderId="0" xfId="0" applyNumberFormat="1"/>
    <xf numFmtId="0" fontId="4" fillId="2" borderId="2" xfId="0" applyFont="1" applyFill="1" applyBorder="1" applyAlignment="1">
      <alignment horizontal="left"/>
    </xf>
    <xf numFmtId="0" fontId="5" fillId="0" borderId="0" xfId="0" applyFont="1"/>
    <xf numFmtId="0" fontId="3" fillId="0" borderId="0" xfId="3"/>
    <xf numFmtId="9" fontId="0" fillId="0" borderId="0" xfId="0" applyNumberForma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i/>
      </font>
      <numFmt numFmtId="0" formatCode="General"/>
    </dxf>
    <dxf>
      <numFmt numFmtId="0" formatCode="General"/>
    </dxf>
    <dxf>
      <numFmt numFmtId="0" formatCode="General"/>
    </dxf>
    <dxf>
      <numFmt numFmtId="166" formatCode="m/d/yyyy"/>
    </dxf>
    <dxf>
      <numFmt numFmtId="164" formatCode="#,##0%_);\(#,##0%\);0%_)"/>
    </dxf>
    <dxf>
      <numFmt numFmtId="1" formatCode="0"/>
    </dxf>
    <dxf>
      <numFmt numFmtId="166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DB182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FFFFFF"/>
        </left>
        <right style="medium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4AD44-544C-4CF9-B45B-DACD55B37521}" name="TBL_Employees" displayName="TBL_Employees" ref="A1:R1001" totalsRowShown="0" headerRowDxfId="9">
  <autoFilter ref="A1:R1001" xr:uid="{10E4AD44-544C-4CF9-B45B-DACD55B37521}"/>
  <tableColumns count="18">
    <tableColumn id="1" xr3:uid="{66B3E16A-5474-4C8B-BF57-DC2A7D817701}" name="EEID"/>
    <tableColumn id="2" xr3:uid="{0D986100-357F-458D-8DBF-76DB6685A669}" name="Full Name"/>
    <tableColumn id="3" xr3:uid="{C62FD191-8BA9-4C3C-9841-D56464AD0DA7}" name="Job Title"/>
    <tableColumn id="4" xr3:uid="{2E661EE1-F512-497C-A695-37FDECA439EC}" name="Department"/>
    <tableColumn id="5" xr3:uid="{880D3EEA-E1A0-42B7-B47B-3EA6ABFAAA97}" name="Business Unit"/>
    <tableColumn id="6" xr3:uid="{FF7A165E-8978-444B-8A74-A6D68A093C3F}" name="Gender"/>
    <tableColumn id="7" xr3:uid="{3205BEF8-4A74-425F-B222-C09E8E36720F}" name="Ethnicity"/>
    <tableColumn id="8" xr3:uid="{74A005CC-BAFB-4902-BF49-C19DDC8C7031}" name="Age"/>
    <tableColumn id="9" xr3:uid="{F12856A5-F243-4CBC-9612-5714B94677B0}" name="Hire Date" dataDxfId="8"/>
    <tableColumn id="10" xr3:uid="{FD779448-5EDB-4568-82B1-767C04EFDD39}" name="Annual Salary" dataDxfId="7"/>
    <tableColumn id="11" xr3:uid="{D67367B4-3590-4BA9-93DC-53B4DFDE6441}" name="Bonus %" dataDxfId="6"/>
    <tableColumn id="12" xr3:uid="{FF4A7452-13F0-4F85-8257-77689AB986BF}" name="Country"/>
    <tableColumn id="13" xr3:uid="{64F1B71B-21CD-4A49-91A4-770E9CCF8A76}" name="City"/>
    <tableColumn id="14" xr3:uid="{326BAB97-F8AC-45CE-8945-7E68DD351BAF}" name="Exit Date" dataDxfId="5"/>
    <tableColumn id="15" xr3:uid="{C7980AC5-EB8E-4719-9ADC-6337B400F2EF}" name="Bonus" dataDxfId="4">
      <calculatedColumnFormula>TBL_Employees[[#This Row],[Bonus %]]*TBL_Employees[[#This Row],[Annual Salary]]</calculatedColumnFormula>
    </tableColumn>
    <tableColumn id="16" xr3:uid="{A214A71A-707D-40B2-B0E4-37A3EF139F29}" name="Category" dataDxfId="3">
      <calculatedColumnFormula>IF(TBL_Employees[[#This Row],[Age]]&gt;50,"Senior","Junior")</calculatedColumnFormula>
    </tableColumn>
    <tableColumn id="17" xr3:uid="{85C49B00-D7F7-4F04-9B15-E1CB7A7F6279}" name="Q18" dataDxfId="2">
      <calculatedColumnFormula>IF(OR(D2="IT", J2&gt;100000), "YES", "NO")</calculatedColumnFormula>
    </tableColumn>
    <tableColumn id="19" xr3:uid="{4B1ABBE2-CD76-4419-A395-A4A1E689A9DC}" name="Year" dataDxfId="1">
      <calculatedColumnFormula>YEAR(TBL_Employees[[#This Row],[Hire Date]])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bc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4B560-0E2E-4E90-A5A5-DCC845A508E1}">
  <dimension ref="A1:AB1001"/>
  <sheetViews>
    <sheetView topLeftCell="J1" zoomScale="85" zoomScaleNormal="85" workbookViewId="0">
      <selection activeCell="S25" sqref="S25"/>
    </sheetView>
  </sheetViews>
  <sheetFormatPr defaultRowHeight="14.5" x14ac:dyDescent="0.35"/>
  <cols>
    <col min="1" max="1" width="7.08984375" bestFit="1" customWidth="1"/>
    <col min="2" max="2" width="20.54296875" bestFit="1" customWidth="1"/>
    <col min="3" max="3" width="27.6328125" bestFit="1" customWidth="1"/>
    <col min="4" max="4" width="16.90625" bestFit="1" customWidth="1"/>
    <col min="5" max="5" width="23.90625" bestFit="1" customWidth="1"/>
    <col min="6" max="6" width="10" bestFit="1" customWidth="1"/>
    <col min="7" max="7" width="11" bestFit="1" customWidth="1"/>
    <col min="8" max="8" width="6.6328125" bestFit="1" customWidth="1"/>
    <col min="9" max="9" width="11.54296875" bestFit="1" customWidth="1"/>
    <col min="10" max="10" width="15.453125" style="11" bestFit="1" customWidth="1"/>
    <col min="11" max="11" width="10.6328125" bestFit="1" customWidth="1"/>
    <col min="12" max="12" width="12.90625" bestFit="1" customWidth="1"/>
    <col min="13" max="13" width="13.54296875" bestFit="1" customWidth="1"/>
    <col min="14" max="14" width="11.08984375" bestFit="1" customWidth="1"/>
    <col min="17" max="18" width="8.7265625" style="14"/>
    <col min="19" max="19" width="71.81640625" bestFit="1" customWidth="1"/>
    <col min="20" max="20" width="17.08984375" bestFit="1" customWidth="1"/>
    <col min="21" max="21" width="20.1796875" bestFit="1" customWidth="1"/>
  </cols>
  <sheetData>
    <row r="1" spans="1:28" s="4" customForma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1985</v>
      </c>
      <c r="P1" s="2" t="s">
        <v>2000</v>
      </c>
      <c r="Q1" s="13" t="s">
        <v>2004</v>
      </c>
      <c r="R1" s="2" t="s">
        <v>2045</v>
      </c>
    </row>
    <row r="2" spans="1:28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55</v>
      </c>
      <c r="I2" s="5">
        <v>42468</v>
      </c>
      <c r="J2" s="11">
        <v>141604</v>
      </c>
      <c r="K2" s="6">
        <v>0.15</v>
      </c>
      <c r="L2" t="s">
        <v>21</v>
      </c>
      <c r="M2" t="s">
        <v>22</v>
      </c>
      <c r="N2" s="5">
        <v>44485</v>
      </c>
      <c r="O2">
        <f>TBL_Employees[[#This Row],[Bonus %]]*TBL_Employees[[#This Row],[Annual Salary]]</f>
        <v>21240.6</v>
      </c>
      <c r="P2" t="str">
        <f>IF(TBL_Employees[[#This Row],[Age]]&gt;50,"Senior","Junior")</f>
        <v>Senior</v>
      </c>
      <c r="Q2" s="14" t="str">
        <f>IF(OR(D2="IT", J2&gt;100000), "YES", "NO")</f>
        <v>YES</v>
      </c>
      <c r="R2" s="14">
        <f>YEAR(TBL_Employees[[#This Row],[Hire Date]])</f>
        <v>2016</v>
      </c>
      <c r="V2" t="b">
        <f>J25&gt;100000</f>
        <v>0</v>
      </c>
    </row>
    <row r="3" spans="1:28" x14ac:dyDescent="0.35">
      <c r="A3" t="s">
        <v>23</v>
      </c>
      <c r="B3" t="s">
        <v>24</v>
      </c>
      <c r="C3" t="s">
        <v>25</v>
      </c>
      <c r="D3" t="s">
        <v>17</v>
      </c>
      <c r="E3" t="s">
        <v>26</v>
      </c>
      <c r="F3" t="s">
        <v>27</v>
      </c>
      <c r="G3" t="s">
        <v>28</v>
      </c>
      <c r="H3">
        <v>59</v>
      </c>
      <c r="I3" s="5">
        <v>35763</v>
      </c>
      <c r="J3" s="11">
        <v>99975</v>
      </c>
      <c r="K3" s="6">
        <v>0</v>
      </c>
      <c r="L3" t="s">
        <v>29</v>
      </c>
      <c r="M3" t="s">
        <v>30</v>
      </c>
      <c r="N3" s="5" t="s">
        <v>31</v>
      </c>
      <c r="O3">
        <f>TBL_Employees[[#This Row],[Bonus %]]*TBL_Employees[[#This Row],[Annual Salary]]</f>
        <v>0</v>
      </c>
      <c r="P3" t="str">
        <f>IF(TBL_Employees[[#This Row],[Age]]&gt;50,"Senior","Junior")</f>
        <v>Senior</v>
      </c>
      <c r="Q3" s="14" t="str">
        <f>IF(OR(D3="IT", J3&gt;100000), "YES", "NO")</f>
        <v>YES</v>
      </c>
      <c r="R3" s="14">
        <f>YEAR(TBL_Employees[[#This Row],[Hire Date]])</f>
        <v>1997</v>
      </c>
    </row>
    <row r="4" spans="1:28" x14ac:dyDescent="0.3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19</v>
      </c>
      <c r="G4" t="s">
        <v>37</v>
      </c>
      <c r="H4">
        <v>50</v>
      </c>
      <c r="I4" s="5">
        <v>39016</v>
      </c>
      <c r="J4" s="11">
        <v>163099</v>
      </c>
      <c r="K4" s="6">
        <v>0.2</v>
      </c>
      <c r="L4" t="s">
        <v>21</v>
      </c>
      <c r="M4" t="s">
        <v>38</v>
      </c>
      <c r="N4" s="5" t="s">
        <v>31</v>
      </c>
      <c r="O4">
        <f>TBL_Employees[[#This Row],[Bonus %]]*TBL_Employees[[#This Row],[Annual Salary]]</f>
        <v>32619.800000000003</v>
      </c>
      <c r="P4" t="str">
        <f>IF(TBL_Employees[[#This Row],[Age]]&gt;50,"Senior","Junior")</f>
        <v>Junior</v>
      </c>
      <c r="Q4" s="14" t="str">
        <f>IF(OR(D4="IT", J4&gt;100000), "YES", "NO")</f>
        <v>YES</v>
      </c>
      <c r="R4" s="14">
        <f>YEAR(TBL_Employees[[#This Row],[Hire Date]])</f>
        <v>2006</v>
      </c>
      <c r="S4" t="s">
        <v>1983</v>
      </c>
      <c r="T4" s="7">
        <f>SUM(TBL_Employees[Annual Salary])</f>
        <v>113217365</v>
      </c>
    </row>
    <row r="5" spans="1:28" x14ac:dyDescent="0.35">
      <c r="A5" t="s">
        <v>39</v>
      </c>
      <c r="B5" t="s">
        <v>40</v>
      </c>
      <c r="C5" t="s">
        <v>41</v>
      </c>
      <c r="D5" t="s">
        <v>17</v>
      </c>
      <c r="E5" t="s">
        <v>26</v>
      </c>
      <c r="F5" t="s">
        <v>19</v>
      </c>
      <c r="G5" t="s">
        <v>37</v>
      </c>
      <c r="H5">
        <v>26</v>
      </c>
      <c r="I5" s="5">
        <v>43735</v>
      </c>
      <c r="J5" s="11">
        <v>84913</v>
      </c>
      <c r="K5" s="6">
        <v>7.0000000000000007E-2</v>
      </c>
      <c r="L5" t="s">
        <v>21</v>
      </c>
      <c r="M5" t="s">
        <v>38</v>
      </c>
      <c r="N5" s="5" t="s">
        <v>31</v>
      </c>
      <c r="O5">
        <f>TBL_Employees[[#This Row],[Bonus %]]*TBL_Employees[[#This Row],[Annual Salary]]</f>
        <v>5943.9100000000008</v>
      </c>
      <c r="P5" t="str">
        <f>IF(TBL_Employees[[#This Row],[Age]]&gt;50,"Senior","Junior")</f>
        <v>Junior</v>
      </c>
      <c r="Q5" s="14" t="str">
        <f>IF(OR(D5="IT", J5&gt;100000), "YES", "NO")</f>
        <v>YES</v>
      </c>
      <c r="R5" s="14">
        <f>YEAR(TBL_Employees[[#This Row],[Hire Date]])</f>
        <v>2019</v>
      </c>
      <c r="S5" t="s">
        <v>1984</v>
      </c>
      <c r="T5" s="8">
        <f>SUM(TBL_Employees[Bonus])</f>
        <v>15873801.470000021</v>
      </c>
    </row>
    <row r="6" spans="1:28" x14ac:dyDescent="0.35">
      <c r="A6" t="s">
        <v>42</v>
      </c>
      <c r="B6" t="s">
        <v>43</v>
      </c>
      <c r="C6" t="s">
        <v>44</v>
      </c>
      <c r="D6" t="s">
        <v>35</v>
      </c>
      <c r="E6" t="s">
        <v>26</v>
      </c>
      <c r="F6" t="s">
        <v>27</v>
      </c>
      <c r="G6" t="s">
        <v>28</v>
      </c>
      <c r="H6">
        <v>55</v>
      </c>
      <c r="I6" s="5">
        <v>35023</v>
      </c>
      <c r="J6" s="11">
        <v>95409</v>
      </c>
      <c r="K6" s="6">
        <v>0</v>
      </c>
      <c r="L6" t="s">
        <v>21</v>
      </c>
      <c r="M6" t="s">
        <v>45</v>
      </c>
      <c r="N6" s="5" t="s">
        <v>31</v>
      </c>
      <c r="O6">
        <f>TBL_Employees[[#This Row],[Bonus %]]*TBL_Employees[[#This Row],[Annual Salary]]</f>
        <v>0</v>
      </c>
      <c r="P6" t="str">
        <f>IF(TBL_Employees[[#This Row],[Age]]&gt;50,"Senior","Junior")</f>
        <v>Senior</v>
      </c>
      <c r="Q6" s="14" t="str">
        <f>IF(OR(D6="IT", J6&gt;100000), "YES", "NO")</f>
        <v>NO</v>
      </c>
      <c r="R6" s="14">
        <f>YEAR(TBL_Employees[[#This Row],[Hire Date]])</f>
        <v>1995</v>
      </c>
      <c r="S6" t="s">
        <v>1986</v>
      </c>
      <c r="T6" s="7">
        <f>SUMIF(TBL_Employees[Department],"IT",TBL_Employees[Annual Salary])</f>
        <v>23567499</v>
      </c>
    </row>
    <row r="7" spans="1:28" x14ac:dyDescent="0.35">
      <c r="A7" t="s">
        <v>46</v>
      </c>
      <c r="B7" t="s">
        <v>47</v>
      </c>
      <c r="C7" t="s">
        <v>48</v>
      </c>
      <c r="D7" t="s">
        <v>49</v>
      </c>
      <c r="E7" t="s">
        <v>50</v>
      </c>
      <c r="F7" t="s">
        <v>27</v>
      </c>
      <c r="G7" t="s">
        <v>28</v>
      </c>
      <c r="H7">
        <v>57</v>
      </c>
      <c r="I7" s="5">
        <v>42759</v>
      </c>
      <c r="J7" s="11">
        <v>50994</v>
      </c>
      <c r="K7" s="6">
        <v>0</v>
      </c>
      <c r="L7" t="s">
        <v>29</v>
      </c>
      <c r="M7" t="s">
        <v>30</v>
      </c>
      <c r="N7" s="5" t="s">
        <v>31</v>
      </c>
      <c r="O7">
        <f>TBL_Employees[[#This Row],[Bonus %]]*TBL_Employees[[#This Row],[Annual Salary]]</f>
        <v>0</v>
      </c>
      <c r="P7" t="str">
        <f>IF(TBL_Employees[[#This Row],[Age]]&gt;50,"Senior","Junior")</f>
        <v>Senior</v>
      </c>
      <c r="Q7" s="14" t="str">
        <f>IF(OR(D7="IT", J7&gt;100000), "YES", "NO")</f>
        <v>NO</v>
      </c>
      <c r="R7" s="14">
        <f>YEAR(TBL_Employees[[#This Row],[Hire Date]])</f>
        <v>2017</v>
      </c>
      <c r="S7" t="s">
        <v>1988</v>
      </c>
      <c r="T7" s="7">
        <f>SUMIFS(TBL_Employees[Annual Salary],TBL_Employees[Department],"IT",TBL_Employees[Business Unit],"Research &amp; Development")</f>
        <v>5990757</v>
      </c>
    </row>
    <row r="8" spans="1:28" x14ac:dyDescent="0.35">
      <c r="A8" t="s">
        <v>51</v>
      </c>
      <c r="B8" t="s">
        <v>52</v>
      </c>
      <c r="C8" t="s">
        <v>53</v>
      </c>
      <c r="D8" t="s">
        <v>17</v>
      </c>
      <c r="E8" t="s">
        <v>50</v>
      </c>
      <c r="F8" t="s">
        <v>19</v>
      </c>
      <c r="G8" t="s">
        <v>37</v>
      </c>
      <c r="H8">
        <v>27</v>
      </c>
      <c r="I8" s="5">
        <v>44013</v>
      </c>
      <c r="J8" s="11">
        <v>119746</v>
      </c>
      <c r="K8" s="6">
        <v>0.1</v>
      </c>
      <c r="L8" t="s">
        <v>21</v>
      </c>
      <c r="M8" t="s">
        <v>45</v>
      </c>
      <c r="N8" s="5" t="s">
        <v>31</v>
      </c>
      <c r="O8">
        <f>TBL_Employees[[#This Row],[Bonus %]]*TBL_Employees[[#This Row],[Annual Salary]]</f>
        <v>11974.6</v>
      </c>
      <c r="P8" t="str">
        <f>IF(TBL_Employees[[#This Row],[Age]]&gt;50,"Senior","Junior")</f>
        <v>Junior</v>
      </c>
      <c r="Q8" s="14" t="str">
        <f>IF(OR(D8="IT", J8&gt;100000), "YES", "NO")</f>
        <v>YES</v>
      </c>
      <c r="R8" s="14">
        <f>YEAR(TBL_Employees[[#This Row],[Hire Date]])</f>
        <v>2020</v>
      </c>
      <c r="S8" t="s">
        <v>1989</v>
      </c>
      <c r="T8">
        <f>COUNTIF(TBL_Employees[Gender],"Female")</f>
        <v>518</v>
      </c>
    </row>
    <row r="9" spans="1:28" x14ac:dyDescent="0.35">
      <c r="A9" t="s">
        <v>54</v>
      </c>
      <c r="B9" t="s">
        <v>55</v>
      </c>
      <c r="C9" t="s">
        <v>56</v>
      </c>
      <c r="D9" t="s">
        <v>35</v>
      </c>
      <c r="E9" t="s">
        <v>26</v>
      </c>
      <c r="F9" t="s">
        <v>27</v>
      </c>
      <c r="G9" t="s">
        <v>20</v>
      </c>
      <c r="H9">
        <v>25</v>
      </c>
      <c r="I9" s="5">
        <v>43967</v>
      </c>
      <c r="J9" s="11">
        <v>41336</v>
      </c>
      <c r="K9" s="6">
        <v>0</v>
      </c>
      <c r="L9" t="s">
        <v>21</v>
      </c>
      <c r="M9" t="s">
        <v>57</v>
      </c>
      <c r="N9" s="5">
        <v>44336</v>
      </c>
      <c r="O9">
        <f>TBL_Employees[[#This Row],[Bonus %]]*TBL_Employees[[#This Row],[Annual Salary]]</f>
        <v>0</v>
      </c>
      <c r="P9" t="str">
        <f>IF(TBL_Employees[[#This Row],[Age]]&gt;50,"Senior","Junior")</f>
        <v>Junior</v>
      </c>
      <c r="Q9" s="14" t="str">
        <f>IF(OR(D9="IT", J9&gt;100000), "YES", "NO")</f>
        <v>NO</v>
      </c>
      <c r="R9" s="14">
        <f>YEAR(TBL_Employees[[#This Row],[Hire Date]])</f>
        <v>2020</v>
      </c>
      <c r="S9" t="s">
        <v>1991</v>
      </c>
      <c r="T9">
        <f>COUNTIF(TBL_Employees[Department],"IT")</f>
        <v>241</v>
      </c>
    </row>
    <row r="10" spans="1:28" x14ac:dyDescent="0.35">
      <c r="A10" t="s">
        <v>58</v>
      </c>
      <c r="B10" t="s">
        <v>59</v>
      </c>
      <c r="C10" t="s">
        <v>53</v>
      </c>
      <c r="D10" t="s">
        <v>60</v>
      </c>
      <c r="E10" t="s">
        <v>26</v>
      </c>
      <c r="F10" t="s">
        <v>27</v>
      </c>
      <c r="G10" t="s">
        <v>37</v>
      </c>
      <c r="H10">
        <v>29</v>
      </c>
      <c r="I10" s="5">
        <v>43490</v>
      </c>
      <c r="J10" s="11">
        <v>113527</v>
      </c>
      <c r="K10" s="6">
        <v>0.06</v>
      </c>
      <c r="L10" t="s">
        <v>21</v>
      </c>
      <c r="M10" t="s">
        <v>61</v>
      </c>
      <c r="N10" s="5" t="s">
        <v>31</v>
      </c>
      <c r="O10">
        <f>TBL_Employees[[#This Row],[Bonus %]]*TBL_Employees[[#This Row],[Annual Salary]]</f>
        <v>6811.62</v>
      </c>
      <c r="P10" t="str">
        <f>IF(TBL_Employees[[#This Row],[Age]]&gt;50,"Senior","Junior")</f>
        <v>Junior</v>
      </c>
      <c r="Q10" s="14" t="str">
        <f>IF(OR(D10="IT", J10&gt;100000), "YES", "NO")</f>
        <v>YES</v>
      </c>
      <c r="R10" s="14">
        <f>YEAR(TBL_Employees[[#This Row],[Hire Date]])</f>
        <v>2019</v>
      </c>
      <c r="S10" t="s">
        <v>1990</v>
      </c>
      <c r="T10">
        <f>COUNTIFS(TBL_Employees[Department],"IT",TBL_Employees[Gender],"Female")</f>
        <v>119</v>
      </c>
    </row>
    <row r="11" spans="1:28" x14ac:dyDescent="0.35">
      <c r="A11" t="s">
        <v>62</v>
      </c>
      <c r="B11" t="s">
        <v>63</v>
      </c>
      <c r="C11" t="s">
        <v>44</v>
      </c>
      <c r="D11" t="s">
        <v>35</v>
      </c>
      <c r="E11" t="s">
        <v>36</v>
      </c>
      <c r="F11" t="s">
        <v>19</v>
      </c>
      <c r="G11" t="s">
        <v>37</v>
      </c>
      <c r="H11">
        <v>34</v>
      </c>
      <c r="I11" s="5">
        <v>43264</v>
      </c>
      <c r="J11" s="11">
        <v>77203</v>
      </c>
      <c r="K11" s="6">
        <v>0</v>
      </c>
      <c r="L11" t="s">
        <v>21</v>
      </c>
      <c r="M11" t="s">
        <v>38</v>
      </c>
      <c r="N11" s="5" t="s">
        <v>31</v>
      </c>
      <c r="O11">
        <f>TBL_Employees[[#This Row],[Bonus %]]*TBL_Employees[[#This Row],[Annual Salary]]</f>
        <v>0</v>
      </c>
      <c r="P11" t="str">
        <f>IF(TBL_Employees[[#This Row],[Age]]&gt;50,"Senior","Junior")</f>
        <v>Junior</v>
      </c>
      <c r="Q11" s="14" t="str">
        <f>IF(OR(D11="IT", J11&gt;100000), "YES", "NO")</f>
        <v>NO</v>
      </c>
      <c r="R11" s="14">
        <f>YEAR(TBL_Employees[[#This Row],[Hire Date]])</f>
        <v>2018</v>
      </c>
      <c r="S11" t="s">
        <v>1992</v>
      </c>
      <c r="T11" s="7">
        <f>AVERAGEIF(TBL_Employees[Gender],"Female",TBL_Employees[Annual Salary])</f>
        <v>112314.17953667954</v>
      </c>
      <c r="AB11" t="s">
        <v>1987</v>
      </c>
    </row>
    <row r="12" spans="1:28" x14ac:dyDescent="0.35">
      <c r="A12" t="s">
        <v>64</v>
      </c>
      <c r="B12" t="s">
        <v>65</v>
      </c>
      <c r="C12" t="s">
        <v>16</v>
      </c>
      <c r="D12" t="s">
        <v>66</v>
      </c>
      <c r="E12" t="s">
        <v>26</v>
      </c>
      <c r="F12" t="s">
        <v>19</v>
      </c>
      <c r="G12" t="s">
        <v>28</v>
      </c>
      <c r="H12">
        <v>36</v>
      </c>
      <c r="I12" s="5">
        <v>39855</v>
      </c>
      <c r="J12" s="11">
        <v>157333</v>
      </c>
      <c r="K12" s="6">
        <v>0.15</v>
      </c>
      <c r="L12" t="s">
        <v>21</v>
      </c>
      <c r="M12" t="s">
        <v>57</v>
      </c>
      <c r="N12" s="5" t="s">
        <v>31</v>
      </c>
      <c r="O12">
        <f>TBL_Employees[[#This Row],[Bonus %]]*TBL_Employees[[#This Row],[Annual Salary]]</f>
        <v>23599.95</v>
      </c>
      <c r="P12" t="str">
        <f>IF(TBL_Employees[[#This Row],[Age]]&gt;50,"Senior","Junior")</f>
        <v>Junior</v>
      </c>
      <c r="Q12" s="14" t="str">
        <f>IF(OR(D12="IT", J12&gt;100000), "YES", "NO")</f>
        <v>YES</v>
      </c>
      <c r="R12" s="14">
        <f>YEAR(TBL_Employees[[#This Row],[Hire Date]])</f>
        <v>2009</v>
      </c>
      <c r="S12" t="s">
        <v>1993</v>
      </c>
      <c r="T12" s="7">
        <f>AVERAGEIF(TBL_Employees[Department],"Finance",TBL_Employees[Annual Salary])</f>
        <v>122802.89166666666</v>
      </c>
    </row>
    <row r="13" spans="1:28" x14ac:dyDescent="0.35">
      <c r="A13" t="s">
        <v>67</v>
      </c>
      <c r="B13" t="s">
        <v>68</v>
      </c>
      <c r="C13" t="s">
        <v>69</v>
      </c>
      <c r="D13" t="s">
        <v>70</v>
      </c>
      <c r="E13" t="s">
        <v>36</v>
      </c>
      <c r="F13" t="s">
        <v>19</v>
      </c>
      <c r="G13" t="s">
        <v>37</v>
      </c>
      <c r="H13">
        <v>27</v>
      </c>
      <c r="I13" s="5">
        <v>44490</v>
      </c>
      <c r="J13" s="11">
        <v>109851</v>
      </c>
      <c r="K13" s="6">
        <v>0</v>
      </c>
      <c r="L13" t="s">
        <v>21</v>
      </c>
      <c r="M13" t="s">
        <v>22</v>
      </c>
      <c r="N13" s="5" t="s">
        <v>31</v>
      </c>
      <c r="O13">
        <f>TBL_Employees[[#This Row],[Bonus %]]*TBL_Employees[[#This Row],[Annual Salary]]</f>
        <v>0</v>
      </c>
      <c r="P13" t="str">
        <f>IF(TBL_Employees[[#This Row],[Age]]&gt;50,"Senior","Junior")</f>
        <v>Junior</v>
      </c>
      <c r="Q13" s="14" t="str">
        <f>IF(OR(D13="IT", J13&gt;100000), "YES", "NO")</f>
        <v>YES</v>
      </c>
      <c r="R13" s="14">
        <f>YEAR(TBL_Employees[[#This Row],[Hire Date]])</f>
        <v>2021</v>
      </c>
      <c r="S13" t="s">
        <v>1994</v>
      </c>
      <c r="T13" s="7">
        <f>AVERAGEIFS(TBL_Employees[Annual Salary],TBL_Employees[Department],"IT",TBL_Employees[Gender],"Female")</f>
        <v>95332.554621848743</v>
      </c>
    </row>
    <row r="14" spans="1:28" x14ac:dyDescent="0.35">
      <c r="A14" t="s">
        <v>71</v>
      </c>
      <c r="B14" t="s">
        <v>72</v>
      </c>
      <c r="C14" t="s">
        <v>53</v>
      </c>
      <c r="D14" t="s">
        <v>66</v>
      </c>
      <c r="E14" t="s">
        <v>26</v>
      </c>
      <c r="F14" t="s">
        <v>27</v>
      </c>
      <c r="G14" t="s">
        <v>37</v>
      </c>
      <c r="H14">
        <v>59</v>
      </c>
      <c r="I14" s="5">
        <v>36233</v>
      </c>
      <c r="J14" s="11">
        <v>105086</v>
      </c>
      <c r="K14" s="6">
        <v>0.09</v>
      </c>
      <c r="L14" t="s">
        <v>21</v>
      </c>
      <c r="M14" t="s">
        <v>61</v>
      </c>
      <c r="N14" s="5" t="s">
        <v>31</v>
      </c>
      <c r="O14">
        <f>TBL_Employees[[#This Row],[Bonus %]]*TBL_Employees[[#This Row],[Annual Salary]]</f>
        <v>9457.74</v>
      </c>
      <c r="P14" t="str">
        <f>IF(TBL_Employees[[#This Row],[Age]]&gt;50,"Senior","Junior")</f>
        <v>Senior</v>
      </c>
      <c r="Q14" s="14" t="str">
        <f>IF(OR(D14="IT", J14&gt;100000), "YES", "NO")</f>
        <v>YES</v>
      </c>
      <c r="R14" s="14">
        <f>YEAR(TBL_Employees[[#This Row],[Hire Date]])</f>
        <v>1999</v>
      </c>
      <c r="S14" t="s">
        <v>1995</v>
      </c>
      <c r="T14">
        <f>COUNTIF(TBL_Employees[Annual Salary],"&gt;100000")</f>
        <v>460</v>
      </c>
    </row>
    <row r="15" spans="1:28" x14ac:dyDescent="0.35">
      <c r="A15" t="s">
        <v>73</v>
      </c>
      <c r="B15" t="s">
        <v>74</v>
      </c>
      <c r="C15" t="s">
        <v>16</v>
      </c>
      <c r="D15" t="s">
        <v>35</v>
      </c>
      <c r="E15" t="s">
        <v>18</v>
      </c>
      <c r="F15" t="s">
        <v>19</v>
      </c>
      <c r="G15" t="s">
        <v>28</v>
      </c>
      <c r="H15">
        <v>51</v>
      </c>
      <c r="I15" s="5">
        <v>44357</v>
      </c>
      <c r="J15" s="11">
        <v>146742</v>
      </c>
      <c r="K15" s="6">
        <v>0.1</v>
      </c>
      <c r="L15" t="s">
        <v>29</v>
      </c>
      <c r="M15" t="s">
        <v>75</v>
      </c>
      <c r="N15" s="5" t="s">
        <v>31</v>
      </c>
      <c r="O15">
        <f>TBL_Employees[[#This Row],[Bonus %]]*TBL_Employees[[#This Row],[Annual Salary]]</f>
        <v>14674.2</v>
      </c>
      <c r="P15" t="str">
        <f>IF(TBL_Employees[[#This Row],[Age]]&gt;50,"Senior","Junior")</f>
        <v>Senior</v>
      </c>
      <c r="Q15" s="14" t="str">
        <f>IF(OR(D15="IT", J15&gt;100000), "YES", "NO")</f>
        <v>YES</v>
      </c>
      <c r="R15" s="14">
        <f>YEAR(TBL_Employees[[#This Row],[Hire Date]])</f>
        <v>2021</v>
      </c>
      <c r="S15" t="s">
        <v>1996</v>
      </c>
      <c r="T15" s="9">
        <f>MAX(TBL_Employees[Bonus %])</f>
        <v>0.4</v>
      </c>
    </row>
    <row r="16" spans="1:28" x14ac:dyDescent="0.35">
      <c r="A16" t="s">
        <v>76</v>
      </c>
      <c r="B16" t="s">
        <v>77</v>
      </c>
      <c r="C16" t="s">
        <v>44</v>
      </c>
      <c r="D16" t="s">
        <v>60</v>
      </c>
      <c r="E16" t="s">
        <v>36</v>
      </c>
      <c r="F16" t="s">
        <v>27</v>
      </c>
      <c r="G16" t="s">
        <v>28</v>
      </c>
      <c r="H16">
        <v>31</v>
      </c>
      <c r="I16" s="5">
        <v>43043</v>
      </c>
      <c r="J16" s="11">
        <v>97078</v>
      </c>
      <c r="K16" s="6">
        <v>0</v>
      </c>
      <c r="L16" t="s">
        <v>21</v>
      </c>
      <c r="M16" t="s">
        <v>61</v>
      </c>
      <c r="N16" s="5">
        <v>43899</v>
      </c>
      <c r="O16">
        <f>TBL_Employees[[#This Row],[Bonus %]]*TBL_Employees[[#This Row],[Annual Salary]]</f>
        <v>0</v>
      </c>
      <c r="P16" t="str">
        <f>IF(TBL_Employees[[#This Row],[Age]]&gt;50,"Senior","Junior")</f>
        <v>Junior</v>
      </c>
      <c r="Q16" s="14" t="str">
        <f>IF(OR(D16="IT", J16&gt;100000), "YES", "NO")</f>
        <v>NO</v>
      </c>
      <c r="R16" s="14">
        <f>YEAR(TBL_Employees[[#This Row],[Hire Date]])</f>
        <v>2017</v>
      </c>
      <c r="S16" t="s">
        <v>1997</v>
      </c>
      <c r="T16">
        <f>COUNTIF(TBL_Employees[City],"Chicago")</f>
        <v>92</v>
      </c>
    </row>
    <row r="17" spans="1:23" x14ac:dyDescent="0.35">
      <c r="A17" t="s">
        <v>78</v>
      </c>
      <c r="B17" t="s">
        <v>79</v>
      </c>
      <c r="C17" t="s">
        <v>80</v>
      </c>
      <c r="D17" t="s">
        <v>81</v>
      </c>
      <c r="E17" t="s">
        <v>18</v>
      </c>
      <c r="F17" t="s">
        <v>19</v>
      </c>
      <c r="G17" t="s">
        <v>28</v>
      </c>
      <c r="H17">
        <v>41</v>
      </c>
      <c r="I17" s="5">
        <v>41346</v>
      </c>
      <c r="J17" s="11">
        <v>249270</v>
      </c>
      <c r="K17" s="6">
        <v>0.3</v>
      </c>
      <c r="L17" t="s">
        <v>21</v>
      </c>
      <c r="M17" t="s">
        <v>22</v>
      </c>
      <c r="N17" s="5" t="s">
        <v>31</v>
      </c>
      <c r="O17">
        <f>TBL_Employees[[#This Row],[Bonus %]]*TBL_Employees[[#This Row],[Annual Salary]]</f>
        <v>74781</v>
      </c>
      <c r="P17" t="str">
        <f>IF(TBL_Employees[[#This Row],[Age]]&gt;50,"Senior","Junior")</f>
        <v>Junior</v>
      </c>
      <c r="Q17" s="14" t="str">
        <f>IF(OR(D17="IT", J17&gt;100000), "YES", "NO")</f>
        <v>YES</v>
      </c>
      <c r="R17" s="14">
        <f>YEAR(TBL_Employees[[#This Row],[Hire Date]])</f>
        <v>2013</v>
      </c>
      <c r="S17" t="s">
        <v>1998</v>
      </c>
      <c r="T17">
        <f>COUNTIFS(TBL_Employees[Department],"IT",TBL_Employees[Annual Salary],"&gt;100000")</f>
        <v>57</v>
      </c>
    </row>
    <row r="18" spans="1:23" x14ac:dyDescent="0.35">
      <c r="A18" t="s">
        <v>82</v>
      </c>
      <c r="B18" t="s">
        <v>83</v>
      </c>
      <c r="C18" t="s">
        <v>34</v>
      </c>
      <c r="D18" t="s">
        <v>35</v>
      </c>
      <c r="E18" t="s">
        <v>18</v>
      </c>
      <c r="F18" t="s">
        <v>19</v>
      </c>
      <c r="G18" t="s">
        <v>20</v>
      </c>
      <c r="H18">
        <v>65</v>
      </c>
      <c r="I18" s="5">
        <v>37319</v>
      </c>
      <c r="J18" s="11">
        <v>175837</v>
      </c>
      <c r="K18" s="6">
        <v>0.2</v>
      </c>
      <c r="L18" t="s">
        <v>21</v>
      </c>
      <c r="M18" t="s">
        <v>45</v>
      </c>
      <c r="N18" s="5" t="s">
        <v>31</v>
      </c>
      <c r="O18">
        <f>TBL_Employees[[#This Row],[Bonus %]]*TBL_Employees[[#This Row],[Annual Salary]]</f>
        <v>35167.4</v>
      </c>
      <c r="P18" t="str">
        <f>IF(TBL_Employees[[#This Row],[Age]]&gt;50,"Senior","Junior")</f>
        <v>Senior</v>
      </c>
      <c r="Q18" s="14" t="str">
        <f>IF(OR(D18="IT", J18&gt;100000), "YES", "NO")</f>
        <v>YES</v>
      </c>
      <c r="R18" s="14">
        <f>YEAR(TBL_Employees[[#This Row],[Hire Date]])</f>
        <v>2002</v>
      </c>
      <c r="S18" t="s">
        <v>1999</v>
      </c>
    </row>
    <row r="19" spans="1:23" x14ac:dyDescent="0.35">
      <c r="A19" t="s">
        <v>84</v>
      </c>
      <c r="B19" t="s">
        <v>85</v>
      </c>
      <c r="C19" t="s">
        <v>16</v>
      </c>
      <c r="D19" t="s">
        <v>81</v>
      </c>
      <c r="E19" t="s">
        <v>36</v>
      </c>
      <c r="F19" t="s">
        <v>19</v>
      </c>
      <c r="G19" t="s">
        <v>86</v>
      </c>
      <c r="H19">
        <v>64</v>
      </c>
      <c r="I19" s="5">
        <v>37956</v>
      </c>
      <c r="J19" s="11">
        <v>154828</v>
      </c>
      <c r="K19" s="6">
        <v>0.13</v>
      </c>
      <c r="L19" t="s">
        <v>21</v>
      </c>
      <c r="M19" t="s">
        <v>22</v>
      </c>
      <c r="N19" s="5" t="s">
        <v>31</v>
      </c>
      <c r="O19">
        <f>TBL_Employees[[#This Row],[Bonus %]]*TBL_Employees[[#This Row],[Annual Salary]]</f>
        <v>20127.64</v>
      </c>
      <c r="P19" t="str">
        <f>IF(TBL_Employees[[#This Row],[Age]]&gt;50,"Senior","Junior")</f>
        <v>Senior</v>
      </c>
      <c r="Q19" s="14" t="str">
        <f>IF(OR(D19="IT", J19&gt;100000), "YES", "NO")</f>
        <v>YES</v>
      </c>
      <c r="R19" s="14">
        <f>YEAR(TBL_Employees[[#This Row],[Hire Date]])</f>
        <v>2003</v>
      </c>
      <c r="S19" t="s">
        <v>2001</v>
      </c>
      <c r="T19">
        <f>COUNTIF(TBL_Employees[Country],"&lt;&gt;United States")</f>
        <v>357</v>
      </c>
    </row>
    <row r="20" spans="1:23" x14ac:dyDescent="0.35">
      <c r="A20" t="s">
        <v>87</v>
      </c>
      <c r="B20" t="s">
        <v>88</v>
      </c>
      <c r="C20" t="s">
        <v>34</v>
      </c>
      <c r="D20" t="s">
        <v>17</v>
      </c>
      <c r="E20" t="s">
        <v>50</v>
      </c>
      <c r="F20" t="s">
        <v>27</v>
      </c>
      <c r="G20" t="s">
        <v>37</v>
      </c>
      <c r="H20">
        <v>64</v>
      </c>
      <c r="I20" s="5">
        <v>41581</v>
      </c>
      <c r="J20" s="11">
        <v>186503</v>
      </c>
      <c r="K20" s="6">
        <v>0.24</v>
      </c>
      <c r="L20" t="s">
        <v>21</v>
      </c>
      <c r="M20" t="s">
        <v>89</v>
      </c>
      <c r="N20" s="5" t="s">
        <v>31</v>
      </c>
      <c r="O20">
        <f>TBL_Employees[[#This Row],[Bonus %]]*TBL_Employees[[#This Row],[Annual Salary]]</f>
        <v>44760.72</v>
      </c>
      <c r="P20" t="str">
        <f>IF(TBL_Employees[[#This Row],[Age]]&gt;50,"Senior","Junior")</f>
        <v>Senior</v>
      </c>
      <c r="Q20" s="14" t="str">
        <f>IF(OR(D20="IT", J20&gt;100000), "YES", "NO")</f>
        <v>YES</v>
      </c>
      <c r="R20" s="14">
        <f>YEAR(TBL_Employees[[#This Row],[Hire Date]])</f>
        <v>2013</v>
      </c>
      <c r="S20" t="s">
        <v>2002</v>
      </c>
      <c r="T20">
        <f>COUNTIFS(TBL_Employees[Annual Salary],"&lt;90000",TBL_Employees[Department],"&lt;&gt;IT")</f>
        <v>284</v>
      </c>
    </row>
    <row r="21" spans="1:23" x14ac:dyDescent="0.35">
      <c r="A21" t="s">
        <v>90</v>
      </c>
      <c r="B21" t="s">
        <v>91</v>
      </c>
      <c r="C21" t="s">
        <v>34</v>
      </c>
      <c r="D21" t="s">
        <v>49</v>
      </c>
      <c r="E21" t="s">
        <v>18</v>
      </c>
      <c r="F21" t="s">
        <v>27</v>
      </c>
      <c r="G21" t="s">
        <v>28</v>
      </c>
      <c r="H21">
        <v>45</v>
      </c>
      <c r="I21" s="5">
        <v>37446</v>
      </c>
      <c r="J21" s="11">
        <v>166331</v>
      </c>
      <c r="K21" s="6">
        <v>0.18</v>
      </c>
      <c r="L21" t="s">
        <v>29</v>
      </c>
      <c r="M21" t="s">
        <v>30</v>
      </c>
      <c r="N21" s="5" t="s">
        <v>31</v>
      </c>
      <c r="O21">
        <f>TBL_Employees[[#This Row],[Bonus %]]*TBL_Employees[[#This Row],[Annual Salary]]</f>
        <v>29939.579999999998</v>
      </c>
      <c r="P21" t="str">
        <f>IF(TBL_Employees[[#This Row],[Age]]&gt;50,"Senior","Junior")</f>
        <v>Junior</v>
      </c>
      <c r="Q21" s="14" t="str">
        <f>IF(OR(D21="IT", J21&gt;100000), "YES", "NO")</f>
        <v>YES</v>
      </c>
      <c r="R21" s="14">
        <f>YEAR(TBL_Employees[[#This Row],[Hire Date]])</f>
        <v>2002</v>
      </c>
      <c r="S21" t="s">
        <v>2003</v>
      </c>
    </row>
    <row r="22" spans="1:23" x14ac:dyDescent="0.35">
      <c r="A22" t="s">
        <v>92</v>
      </c>
      <c r="B22" t="s">
        <v>93</v>
      </c>
      <c r="C22" t="s">
        <v>16</v>
      </c>
      <c r="D22" t="s">
        <v>17</v>
      </c>
      <c r="E22" t="s">
        <v>26</v>
      </c>
      <c r="F22" t="s">
        <v>27</v>
      </c>
      <c r="G22" t="s">
        <v>86</v>
      </c>
      <c r="H22">
        <v>56</v>
      </c>
      <c r="I22" s="5">
        <v>40917</v>
      </c>
      <c r="J22" s="11">
        <v>146140</v>
      </c>
      <c r="K22" s="6">
        <v>0.1</v>
      </c>
      <c r="L22" t="s">
        <v>94</v>
      </c>
      <c r="M22" t="s">
        <v>95</v>
      </c>
      <c r="N22" s="5" t="s">
        <v>31</v>
      </c>
      <c r="O22">
        <f>TBL_Employees[[#This Row],[Bonus %]]*TBL_Employees[[#This Row],[Annual Salary]]</f>
        <v>14614</v>
      </c>
      <c r="P22" t="str">
        <f>IF(TBL_Employees[[#This Row],[Age]]&gt;50,"Senior","Junior")</f>
        <v>Senior</v>
      </c>
      <c r="Q22" s="14" t="str">
        <f>IF(OR(D22="IT", J22&gt;100000), "YES", "NO")</f>
        <v>YES</v>
      </c>
      <c r="R22" s="14">
        <f>YEAR(TBL_Employees[[#This Row],[Hire Date]])</f>
        <v>2012</v>
      </c>
    </row>
    <row r="23" spans="1:23" x14ac:dyDescent="0.35">
      <c r="A23" t="s">
        <v>96</v>
      </c>
      <c r="B23" t="s">
        <v>97</v>
      </c>
      <c r="C23" t="s">
        <v>34</v>
      </c>
      <c r="D23" t="s">
        <v>49</v>
      </c>
      <c r="E23" t="s">
        <v>26</v>
      </c>
      <c r="F23" t="s">
        <v>19</v>
      </c>
      <c r="G23" t="s">
        <v>86</v>
      </c>
      <c r="H23">
        <v>36</v>
      </c>
      <c r="I23" s="5">
        <v>44288</v>
      </c>
      <c r="J23" s="11">
        <v>151703</v>
      </c>
      <c r="K23" s="6">
        <v>0.21</v>
      </c>
      <c r="L23" t="s">
        <v>21</v>
      </c>
      <c r="M23" t="s">
        <v>57</v>
      </c>
      <c r="N23" s="5" t="s">
        <v>31</v>
      </c>
      <c r="O23">
        <f>TBL_Employees[[#This Row],[Bonus %]]*TBL_Employees[[#This Row],[Annual Salary]]</f>
        <v>31857.629999999997</v>
      </c>
      <c r="P23" t="str">
        <f>IF(TBL_Employees[[#This Row],[Age]]&gt;50,"Senior","Junior")</f>
        <v>Junior</v>
      </c>
      <c r="Q23" s="14" t="str">
        <f>IF(OR(D23="IT", J23&gt;100000), "YES", "NO")</f>
        <v>YES</v>
      </c>
      <c r="R23" s="14">
        <f>YEAR(TBL_Employees[[#This Row],[Hire Date]])</f>
        <v>2021</v>
      </c>
    </row>
    <row r="24" spans="1:23" x14ac:dyDescent="0.35">
      <c r="A24" t="s">
        <v>98</v>
      </c>
      <c r="B24" t="s">
        <v>99</v>
      </c>
      <c r="C24" t="s">
        <v>34</v>
      </c>
      <c r="D24" t="s">
        <v>17</v>
      </c>
      <c r="E24" t="s">
        <v>18</v>
      </c>
      <c r="F24" t="s">
        <v>27</v>
      </c>
      <c r="G24" t="s">
        <v>86</v>
      </c>
      <c r="H24">
        <v>59</v>
      </c>
      <c r="I24" s="5">
        <v>37400</v>
      </c>
      <c r="J24" s="11">
        <v>172787</v>
      </c>
      <c r="K24" s="6">
        <v>0.28000000000000003</v>
      </c>
      <c r="L24" t="s">
        <v>94</v>
      </c>
      <c r="M24" t="s">
        <v>100</v>
      </c>
      <c r="N24" s="5" t="s">
        <v>31</v>
      </c>
      <c r="O24">
        <f>TBL_Employees[[#This Row],[Bonus %]]*TBL_Employees[[#This Row],[Annual Salary]]</f>
        <v>48380.360000000008</v>
      </c>
      <c r="P24" t="str">
        <f>IF(TBL_Employees[[#This Row],[Age]]&gt;50,"Senior","Junior")</f>
        <v>Senior</v>
      </c>
      <c r="Q24" s="14" t="str">
        <f>IF(OR(D24="IT", J24&gt;100000), "YES", "NO")</f>
        <v>YES</v>
      </c>
      <c r="R24" s="14">
        <f>YEAR(TBL_Employees[[#This Row],[Hire Date]])</f>
        <v>2002</v>
      </c>
      <c r="S24" t="b">
        <f>ISNUMBER(J4)</f>
        <v>1</v>
      </c>
    </row>
    <row r="25" spans="1:23" x14ac:dyDescent="0.35">
      <c r="A25" t="s">
        <v>101</v>
      </c>
      <c r="B25" t="s">
        <v>102</v>
      </c>
      <c r="C25" t="s">
        <v>56</v>
      </c>
      <c r="D25" t="s">
        <v>49</v>
      </c>
      <c r="E25" t="s">
        <v>36</v>
      </c>
      <c r="F25" t="s">
        <v>27</v>
      </c>
      <c r="G25" t="s">
        <v>37</v>
      </c>
      <c r="H25">
        <v>37</v>
      </c>
      <c r="I25" s="5">
        <v>43713</v>
      </c>
      <c r="J25" s="11">
        <v>49998</v>
      </c>
      <c r="K25" s="6">
        <v>0</v>
      </c>
      <c r="L25" t="s">
        <v>21</v>
      </c>
      <c r="M25" t="s">
        <v>22</v>
      </c>
      <c r="N25" s="5" t="s">
        <v>31</v>
      </c>
      <c r="O25">
        <f>TBL_Employees[[#This Row],[Bonus %]]*TBL_Employees[[#This Row],[Annual Salary]]</f>
        <v>0</v>
      </c>
      <c r="P25" t="str">
        <f>IF(TBL_Employees[[#This Row],[Age]]&gt;50,"Senior","Junior")</f>
        <v>Junior</v>
      </c>
      <c r="Q25" s="14" t="str">
        <f>IF(OR(D25="IT", J25&gt;100000), "YES", "NO")</f>
        <v>NO</v>
      </c>
      <c r="R25" s="14">
        <f>YEAR(TBL_Employees[[#This Row],[Hire Date]])</f>
        <v>2019</v>
      </c>
    </row>
    <row r="26" spans="1:23" x14ac:dyDescent="0.35">
      <c r="A26" t="s">
        <v>103</v>
      </c>
      <c r="B26" t="s">
        <v>104</v>
      </c>
      <c r="C26" t="s">
        <v>80</v>
      </c>
      <c r="D26" t="s">
        <v>49</v>
      </c>
      <c r="E26" t="s">
        <v>36</v>
      </c>
      <c r="F26" t="s">
        <v>27</v>
      </c>
      <c r="G26" t="s">
        <v>28</v>
      </c>
      <c r="H26">
        <v>44</v>
      </c>
      <c r="I26" s="5">
        <v>41700</v>
      </c>
      <c r="J26" s="11">
        <v>207172</v>
      </c>
      <c r="K26" s="6">
        <v>0.31</v>
      </c>
      <c r="L26" t="s">
        <v>29</v>
      </c>
      <c r="M26" t="s">
        <v>30</v>
      </c>
      <c r="N26" s="5" t="s">
        <v>31</v>
      </c>
      <c r="O26">
        <f>TBL_Employees[[#This Row],[Bonus %]]*TBL_Employees[[#This Row],[Annual Salary]]</f>
        <v>64223.32</v>
      </c>
      <c r="P26" t="str">
        <f>IF(TBL_Employees[[#This Row],[Age]]&gt;50,"Senior","Junior")</f>
        <v>Junior</v>
      </c>
      <c r="Q26" s="14" t="str">
        <f>IF(OR(D26="IT", J26&gt;100000), "YES", "NO")</f>
        <v>YES</v>
      </c>
      <c r="R26" s="14">
        <f>YEAR(TBL_Employees[[#This Row],[Hire Date]])</f>
        <v>2014</v>
      </c>
    </row>
    <row r="27" spans="1:23" x14ac:dyDescent="0.35">
      <c r="A27" t="s">
        <v>105</v>
      </c>
      <c r="B27" t="s">
        <v>106</v>
      </c>
      <c r="C27" t="s">
        <v>34</v>
      </c>
      <c r="D27" t="s">
        <v>66</v>
      </c>
      <c r="E27" t="s">
        <v>36</v>
      </c>
      <c r="F27" t="s">
        <v>27</v>
      </c>
      <c r="G27" t="s">
        <v>20</v>
      </c>
      <c r="H27">
        <v>41</v>
      </c>
      <c r="I27" s="5">
        <v>42111</v>
      </c>
      <c r="J27" s="11">
        <v>152239</v>
      </c>
      <c r="K27" s="6">
        <v>0.23</v>
      </c>
      <c r="L27" t="s">
        <v>21</v>
      </c>
      <c r="M27" t="s">
        <v>89</v>
      </c>
      <c r="N27" s="5" t="s">
        <v>31</v>
      </c>
      <c r="O27">
        <f>TBL_Employees[[#This Row],[Bonus %]]*TBL_Employees[[#This Row],[Annual Salary]]</f>
        <v>35014.97</v>
      </c>
      <c r="P27" t="str">
        <f>IF(TBL_Employees[[#This Row],[Age]]&gt;50,"Senior","Junior")</f>
        <v>Junior</v>
      </c>
      <c r="Q27" s="14" t="str">
        <f>IF(OR(D27="IT", J27&gt;100000), "YES", "NO")</f>
        <v>YES</v>
      </c>
      <c r="R27" s="14">
        <f>YEAR(TBL_Employees[[#This Row],[Hire Date]])</f>
        <v>2015</v>
      </c>
    </row>
    <row r="28" spans="1:23" x14ac:dyDescent="0.35">
      <c r="A28" t="s">
        <v>107</v>
      </c>
      <c r="B28" t="s">
        <v>108</v>
      </c>
      <c r="C28" t="s">
        <v>109</v>
      </c>
      <c r="D28" t="s">
        <v>70</v>
      </c>
      <c r="E28" t="s">
        <v>50</v>
      </c>
      <c r="F28" t="s">
        <v>19</v>
      </c>
      <c r="G28" t="s">
        <v>86</v>
      </c>
      <c r="H28">
        <v>56</v>
      </c>
      <c r="I28" s="5">
        <v>38388</v>
      </c>
      <c r="J28" s="11">
        <v>98581</v>
      </c>
      <c r="K28" s="6">
        <v>0</v>
      </c>
      <c r="L28" t="s">
        <v>94</v>
      </c>
      <c r="M28" t="s">
        <v>100</v>
      </c>
      <c r="N28" s="5" t="s">
        <v>31</v>
      </c>
      <c r="O28">
        <f>TBL_Employees[[#This Row],[Bonus %]]*TBL_Employees[[#This Row],[Annual Salary]]</f>
        <v>0</v>
      </c>
      <c r="P28" t="str">
        <f>IF(TBL_Employees[[#This Row],[Age]]&gt;50,"Senior","Junior")</f>
        <v>Senior</v>
      </c>
      <c r="Q28" s="14" t="str">
        <f>IF(OR(D28="IT", J28&gt;100000), "YES", "NO")</f>
        <v>NO</v>
      </c>
      <c r="R28" s="14">
        <f>YEAR(TBL_Employees[[#This Row],[Hire Date]])</f>
        <v>2005</v>
      </c>
    </row>
    <row r="29" spans="1:23" x14ac:dyDescent="0.35">
      <c r="A29" t="s">
        <v>110</v>
      </c>
      <c r="B29" t="s">
        <v>111</v>
      </c>
      <c r="C29" t="s">
        <v>80</v>
      </c>
      <c r="D29" t="s">
        <v>70</v>
      </c>
      <c r="E29" t="s">
        <v>36</v>
      </c>
      <c r="F29" t="s">
        <v>27</v>
      </c>
      <c r="G29" t="s">
        <v>28</v>
      </c>
      <c r="H29">
        <v>43</v>
      </c>
      <c r="I29" s="5">
        <v>38145</v>
      </c>
      <c r="J29" s="11">
        <v>246231</v>
      </c>
      <c r="K29" s="6">
        <v>0.31</v>
      </c>
      <c r="L29" t="s">
        <v>21</v>
      </c>
      <c r="M29" t="s">
        <v>22</v>
      </c>
      <c r="N29" s="5" t="s">
        <v>31</v>
      </c>
      <c r="O29">
        <f>TBL_Employees[[#This Row],[Bonus %]]*TBL_Employees[[#This Row],[Annual Salary]]</f>
        <v>76331.61</v>
      </c>
      <c r="P29" t="str">
        <f>IF(TBL_Employees[[#This Row],[Age]]&gt;50,"Senior","Junior")</f>
        <v>Junior</v>
      </c>
      <c r="Q29" s="14" t="str">
        <f>IF(OR(D29="IT", J29&gt;100000), "YES", "NO")</f>
        <v>YES</v>
      </c>
      <c r="R29" s="14">
        <f>YEAR(TBL_Employees[[#This Row],[Hire Date]])</f>
        <v>2004</v>
      </c>
    </row>
    <row r="30" spans="1:23" x14ac:dyDescent="0.35">
      <c r="A30" t="s">
        <v>112</v>
      </c>
      <c r="B30" t="s">
        <v>113</v>
      </c>
      <c r="C30" t="s">
        <v>114</v>
      </c>
      <c r="D30" t="s">
        <v>70</v>
      </c>
      <c r="E30" t="s">
        <v>36</v>
      </c>
      <c r="F30" t="s">
        <v>27</v>
      </c>
      <c r="G30" t="s">
        <v>28</v>
      </c>
      <c r="H30">
        <v>64</v>
      </c>
      <c r="I30" s="5">
        <v>35403</v>
      </c>
      <c r="J30" s="11">
        <v>99354</v>
      </c>
      <c r="K30" s="6">
        <v>0.12</v>
      </c>
      <c r="L30" t="s">
        <v>29</v>
      </c>
      <c r="M30" t="s">
        <v>115</v>
      </c>
      <c r="N30" s="5" t="s">
        <v>31</v>
      </c>
      <c r="O30">
        <f>TBL_Employees[[#This Row],[Bonus %]]*TBL_Employees[[#This Row],[Annual Salary]]</f>
        <v>11922.48</v>
      </c>
      <c r="P30" t="str">
        <f>IF(TBL_Employees[[#This Row],[Age]]&gt;50,"Senior","Junior")</f>
        <v>Senior</v>
      </c>
      <c r="Q30" s="14" t="str">
        <f>IF(OR(D30="IT", J30&gt;100000), "YES", "NO")</f>
        <v>NO</v>
      </c>
      <c r="R30" s="14">
        <f>YEAR(TBL_Employees[[#This Row],[Hire Date]])</f>
        <v>1996</v>
      </c>
    </row>
    <row r="31" spans="1:23" x14ac:dyDescent="0.35">
      <c r="A31" t="s">
        <v>116</v>
      </c>
      <c r="B31" t="s">
        <v>117</v>
      </c>
      <c r="C31" t="s">
        <v>80</v>
      </c>
      <c r="D31" t="s">
        <v>17</v>
      </c>
      <c r="E31" t="s">
        <v>50</v>
      </c>
      <c r="F31" t="s">
        <v>27</v>
      </c>
      <c r="G31" t="s">
        <v>28</v>
      </c>
      <c r="H31">
        <v>63</v>
      </c>
      <c r="I31" s="5">
        <v>41040</v>
      </c>
      <c r="J31" s="11">
        <v>231141</v>
      </c>
      <c r="K31" s="6">
        <v>0.34</v>
      </c>
      <c r="L31" t="s">
        <v>29</v>
      </c>
      <c r="M31" t="s">
        <v>115</v>
      </c>
      <c r="N31" s="5" t="s">
        <v>31</v>
      </c>
      <c r="O31">
        <f>TBL_Employees[[#This Row],[Bonus %]]*TBL_Employees[[#This Row],[Annual Salary]]</f>
        <v>78587.94</v>
      </c>
      <c r="P31" t="str">
        <f>IF(TBL_Employees[[#This Row],[Age]]&gt;50,"Senior","Junior")</f>
        <v>Senior</v>
      </c>
      <c r="Q31" s="14" t="str">
        <f>IF(OR(D31="IT", J31&gt;100000), "YES", "NO")</f>
        <v>YES</v>
      </c>
      <c r="R31" s="14">
        <f>YEAR(TBL_Employees[[#This Row],[Hire Date]])</f>
        <v>2012</v>
      </c>
      <c r="U31" t="b">
        <f>D25="Sales"</f>
        <v>1</v>
      </c>
      <c r="W31" t="b">
        <f>OR(D25="IT", J25&gt;100000)</f>
        <v>0</v>
      </c>
    </row>
    <row r="32" spans="1:23" x14ac:dyDescent="0.35">
      <c r="A32" t="s">
        <v>118</v>
      </c>
      <c r="B32" t="s">
        <v>119</v>
      </c>
      <c r="C32" t="s">
        <v>120</v>
      </c>
      <c r="D32" t="s">
        <v>17</v>
      </c>
      <c r="E32" t="s">
        <v>18</v>
      </c>
      <c r="F32" t="s">
        <v>27</v>
      </c>
      <c r="G32" t="s">
        <v>28</v>
      </c>
      <c r="H32">
        <v>28</v>
      </c>
      <c r="I32" s="5">
        <v>42911</v>
      </c>
      <c r="J32" s="11">
        <v>54775</v>
      </c>
      <c r="K32" s="6">
        <v>0</v>
      </c>
      <c r="L32" t="s">
        <v>21</v>
      </c>
      <c r="M32" t="s">
        <v>89</v>
      </c>
      <c r="N32" s="5" t="s">
        <v>31</v>
      </c>
      <c r="O32">
        <f>TBL_Employees[[#This Row],[Bonus %]]*TBL_Employees[[#This Row],[Annual Salary]]</f>
        <v>0</v>
      </c>
      <c r="P32" t="str">
        <f>IF(TBL_Employees[[#This Row],[Age]]&gt;50,"Senior","Junior")</f>
        <v>Junior</v>
      </c>
      <c r="Q32" s="14" t="str">
        <f>IF(OR(D32="IT", J32&gt;100000), "YES", "NO")</f>
        <v>YES</v>
      </c>
      <c r="R32" s="14">
        <f>YEAR(TBL_Employees[[#This Row],[Hire Date]])</f>
        <v>2017</v>
      </c>
    </row>
    <row r="33" spans="1:18" x14ac:dyDescent="0.35">
      <c r="A33" t="s">
        <v>121</v>
      </c>
      <c r="B33" t="s">
        <v>122</v>
      </c>
      <c r="C33" t="s">
        <v>56</v>
      </c>
      <c r="D33" t="s">
        <v>35</v>
      </c>
      <c r="E33" t="s">
        <v>26</v>
      </c>
      <c r="F33" t="s">
        <v>27</v>
      </c>
      <c r="G33" t="s">
        <v>86</v>
      </c>
      <c r="H33">
        <v>65</v>
      </c>
      <c r="I33" s="5">
        <v>38123</v>
      </c>
      <c r="J33" s="11">
        <v>55499</v>
      </c>
      <c r="K33" s="6">
        <v>0</v>
      </c>
      <c r="L33" t="s">
        <v>94</v>
      </c>
      <c r="M33" t="s">
        <v>95</v>
      </c>
      <c r="N33" s="5" t="s">
        <v>31</v>
      </c>
      <c r="O33">
        <f>TBL_Employees[[#This Row],[Bonus %]]*TBL_Employees[[#This Row],[Annual Salary]]</f>
        <v>0</v>
      </c>
      <c r="P33" t="str">
        <f>IF(TBL_Employees[[#This Row],[Age]]&gt;50,"Senior","Junior")</f>
        <v>Senior</v>
      </c>
      <c r="Q33" s="14" t="str">
        <f>IF(OR(D33="IT", J33&gt;100000), "YES", "NO")</f>
        <v>NO</v>
      </c>
      <c r="R33" s="14">
        <f>YEAR(TBL_Employees[[#This Row],[Hire Date]])</f>
        <v>2004</v>
      </c>
    </row>
    <row r="34" spans="1:18" x14ac:dyDescent="0.35">
      <c r="A34" t="s">
        <v>123</v>
      </c>
      <c r="B34" t="s">
        <v>124</v>
      </c>
      <c r="C34" t="s">
        <v>125</v>
      </c>
      <c r="D34" t="s">
        <v>49</v>
      </c>
      <c r="E34" t="s">
        <v>18</v>
      </c>
      <c r="F34" t="s">
        <v>27</v>
      </c>
      <c r="G34" t="s">
        <v>37</v>
      </c>
      <c r="H34">
        <v>61</v>
      </c>
      <c r="I34" s="5">
        <v>39640</v>
      </c>
      <c r="J34" s="11">
        <v>66521</v>
      </c>
      <c r="K34" s="6">
        <v>0</v>
      </c>
      <c r="L34" t="s">
        <v>21</v>
      </c>
      <c r="M34" t="s">
        <v>22</v>
      </c>
      <c r="N34" s="5" t="s">
        <v>31</v>
      </c>
      <c r="O34">
        <f>TBL_Employees[[#This Row],[Bonus %]]*TBL_Employees[[#This Row],[Annual Salary]]</f>
        <v>0</v>
      </c>
      <c r="P34" t="str">
        <f>IF(TBL_Employees[[#This Row],[Age]]&gt;50,"Senior","Junior")</f>
        <v>Senior</v>
      </c>
      <c r="Q34" s="14" t="str">
        <f>IF(OR(D34="IT", J34&gt;100000), "YES", "NO")</f>
        <v>NO</v>
      </c>
      <c r="R34" s="14">
        <f>YEAR(TBL_Employees[[#This Row],[Hire Date]])</f>
        <v>2008</v>
      </c>
    </row>
    <row r="35" spans="1:18" x14ac:dyDescent="0.35">
      <c r="A35" t="s">
        <v>126</v>
      </c>
      <c r="B35" t="s">
        <v>127</v>
      </c>
      <c r="C35" t="s">
        <v>48</v>
      </c>
      <c r="D35" t="s">
        <v>49</v>
      </c>
      <c r="E35" t="s">
        <v>36</v>
      </c>
      <c r="F35" t="s">
        <v>27</v>
      </c>
      <c r="G35" t="s">
        <v>28</v>
      </c>
      <c r="H35">
        <v>30</v>
      </c>
      <c r="I35" s="5">
        <v>42642</v>
      </c>
      <c r="J35" s="11">
        <v>59100</v>
      </c>
      <c r="K35" s="6">
        <v>0</v>
      </c>
      <c r="L35" t="s">
        <v>29</v>
      </c>
      <c r="M35" t="s">
        <v>30</v>
      </c>
      <c r="N35" s="5" t="s">
        <v>31</v>
      </c>
      <c r="O35">
        <f>TBL_Employees[[#This Row],[Bonus %]]*TBL_Employees[[#This Row],[Annual Salary]]</f>
        <v>0</v>
      </c>
      <c r="P35" t="str">
        <f>IF(TBL_Employees[[#This Row],[Age]]&gt;50,"Senior","Junior")</f>
        <v>Junior</v>
      </c>
      <c r="Q35" s="14" t="str">
        <f>IF(OR(D35="IT", J35&gt;100000), "YES", "NO")</f>
        <v>NO</v>
      </c>
      <c r="R35" s="14">
        <f>YEAR(TBL_Employees[[#This Row],[Hire Date]])</f>
        <v>2016</v>
      </c>
    </row>
    <row r="36" spans="1:18" x14ac:dyDescent="0.35">
      <c r="A36" t="s">
        <v>128</v>
      </c>
      <c r="B36" t="s">
        <v>129</v>
      </c>
      <c r="C36" t="s">
        <v>56</v>
      </c>
      <c r="D36" t="s">
        <v>35</v>
      </c>
      <c r="E36" t="s">
        <v>18</v>
      </c>
      <c r="F36" t="s">
        <v>19</v>
      </c>
      <c r="G36" t="s">
        <v>37</v>
      </c>
      <c r="H36">
        <v>27</v>
      </c>
      <c r="I36" s="5">
        <v>43226</v>
      </c>
      <c r="J36" s="11">
        <v>49011</v>
      </c>
      <c r="K36" s="6">
        <v>0</v>
      </c>
      <c r="L36" t="s">
        <v>21</v>
      </c>
      <c r="M36" t="s">
        <v>38</v>
      </c>
      <c r="N36" s="5" t="s">
        <v>31</v>
      </c>
      <c r="O36">
        <f>TBL_Employees[[#This Row],[Bonus %]]*TBL_Employees[[#This Row],[Annual Salary]]</f>
        <v>0</v>
      </c>
      <c r="P36" t="str">
        <f>IF(TBL_Employees[[#This Row],[Age]]&gt;50,"Senior","Junior")</f>
        <v>Junior</v>
      </c>
      <c r="Q36" s="14" t="str">
        <f>IF(OR(D36="IT", J36&gt;100000), "YES", "NO")</f>
        <v>NO</v>
      </c>
      <c r="R36" s="14">
        <f>YEAR(TBL_Employees[[#This Row],[Hire Date]])</f>
        <v>2018</v>
      </c>
    </row>
    <row r="37" spans="1:18" x14ac:dyDescent="0.35">
      <c r="A37" t="s">
        <v>130</v>
      </c>
      <c r="B37" t="s">
        <v>131</v>
      </c>
      <c r="C37" t="s">
        <v>132</v>
      </c>
      <c r="D37" t="s">
        <v>17</v>
      </c>
      <c r="E37" t="s">
        <v>26</v>
      </c>
      <c r="F37" t="s">
        <v>19</v>
      </c>
      <c r="G37" t="s">
        <v>37</v>
      </c>
      <c r="H37">
        <v>32</v>
      </c>
      <c r="I37" s="5">
        <v>41681</v>
      </c>
      <c r="J37" s="11">
        <v>99575</v>
      </c>
      <c r="K37" s="6">
        <v>0</v>
      </c>
      <c r="L37" t="s">
        <v>21</v>
      </c>
      <c r="M37" t="s">
        <v>61</v>
      </c>
      <c r="N37" s="5" t="s">
        <v>31</v>
      </c>
      <c r="O37">
        <f>TBL_Employees[[#This Row],[Bonus %]]*TBL_Employees[[#This Row],[Annual Salary]]</f>
        <v>0</v>
      </c>
      <c r="P37" t="str">
        <f>IF(TBL_Employees[[#This Row],[Age]]&gt;50,"Senior","Junior")</f>
        <v>Junior</v>
      </c>
      <c r="Q37" s="14" t="str">
        <f>IF(OR(D37="IT", J37&gt;100000), "YES", "NO")</f>
        <v>YES</v>
      </c>
      <c r="R37" s="14">
        <f>YEAR(TBL_Employees[[#This Row],[Hire Date]])</f>
        <v>2014</v>
      </c>
    </row>
    <row r="38" spans="1:18" x14ac:dyDescent="0.35">
      <c r="A38" t="s">
        <v>133</v>
      </c>
      <c r="B38" t="s">
        <v>134</v>
      </c>
      <c r="C38" t="s">
        <v>69</v>
      </c>
      <c r="D38" t="s">
        <v>70</v>
      </c>
      <c r="E38" t="s">
        <v>26</v>
      </c>
      <c r="F38" t="s">
        <v>19</v>
      </c>
      <c r="G38" t="s">
        <v>28</v>
      </c>
      <c r="H38">
        <v>34</v>
      </c>
      <c r="I38" s="5">
        <v>43815</v>
      </c>
      <c r="J38" s="11">
        <v>99989</v>
      </c>
      <c r="K38" s="6">
        <v>0</v>
      </c>
      <c r="L38" t="s">
        <v>29</v>
      </c>
      <c r="M38" t="s">
        <v>135</v>
      </c>
      <c r="N38" s="5" t="s">
        <v>31</v>
      </c>
      <c r="O38">
        <f>TBL_Employees[[#This Row],[Bonus %]]*TBL_Employees[[#This Row],[Annual Salary]]</f>
        <v>0</v>
      </c>
      <c r="P38" t="str">
        <f>IF(TBL_Employees[[#This Row],[Age]]&gt;50,"Senior","Junior")</f>
        <v>Junior</v>
      </c>
      <c r="Q38" s="14" t="str">
        <f>IF(OR(D38="IT", J38&gt;100000), "YES", "NO")</f>
        <v>NO</v>
      </c>
      <c r="R38" s="14">
        <f>YEAR(TBL_Employees[[#This Row],[Hire Date]])</f>
        <v>2019</v>
      </c>
    </row>
    <row r="39" spans="1:18" x14ac:dyDescent="0.35">
      <c r="A39" t="s">
        <v>136</v>
      </c>
      <c r="B39" t="s">
        <v>137</v>
      </c>
      <c r="C39" t="s">
        <v>80</v>
      </c>
      <c r="D39" t="s">
        <v>81</v>
      </c>
      <c r="E39" t="s">
        <v>18</v>
      </c>
      <c r="F39" t="s">
        <v>27</v>
      </c>
      <c r="G39" t="s">
        <v>37</v>
      </c>
      <c r="H39">
        <v>27</v>
      </c>
      <c r="I39" s="5">
        <v>43758</v>
      </c>
      <c r="J39" s="11">
        <v>256420</v>
      </c>
      <c r="K39" s="6">
        <v>0.3</v>
      </c>
      <c r="L39" t="s">
        <v>21</v>
      </c>
      <c r="M39" t="s">
        <v>45</v>
      </c>
      <c r="N39" s="5" t="s">
        <v>31</v>
      </c>
      <c r="O39">
        <f>TBL_Employees[[#This Row],[Bonus %]]*TBL_Employees[[#This Row],[Annual Salary]]</f>
        <v>76926</v>
      </c>
      <c r="P39" t="str">
        <f>IF(TBL_Employees[[#This Row],[Age]]&gt;50,"Senior","Junior")</f>
        <v>Junior</v>
      </c>
      <c r="Q39" s="14" t="str">
        <f>IF(OR(D39="IT", J39&gt;100000), "YES", "NO")</f>
        <v>YES</v>
      </c>
      <c r="R39" s="14">
        <f>YEAR(TBL_Employees[[#This Row],[Hire Date]])</f>
        <v>2019</v>
      </c>
    </row>
    <row r="40" spans="1:18" x14ac:dyDescent="0.35">
      <c r="A40" t="s">
        <v>138</v>
      </c>
      <c r="B40" t="s">
        <v>139</v>
      </c>
      <c r="C40" t="s">
        <v>25</v>
      </c>
      <c r="D40" t="s">
        <v>17</v>
      </c>
      <c r="E40" t="s">
        <v>26</v>
      </c>
      <c r="F40" t="s">
        <v>19</v>
      </c>
      <c r="G40" t="s">
        <v>86</v>
      </c>
      <c r="H40">
        <v>35</v>
      </c>
      <c r="I40" s="5">
        <v>41409</v>
      </c>
      <c r="J40" s="11">
        <v>78940</v>
      </c>
      <c r="K40" s="6">
        <v>0</v>
      </c>
      <c r="L40" t="s">
        <v>21</v>
      </c>
      <c r="M40" t="s">
        <v>57</v>
      </c>
      <c r="N40" s="5" t="s">
        <v>31</v>
      </c>
      <c r="O40">
        <f>TBL_Employees[[#This Row],[Bonus %]]*TBL_Employees[[#This Row],[Annual Salary]]</f>
        <v>0</v>
      </c>
      <c r="P40" t="str">
        <f>IF(TBL_Employees[[#This Row],[Age]]&gt;50,"Senior","Junior")</f>
        <v>Junior</v>
      </c>
      <c r="Q40" s="14" t="str">
        <f>IF(OR(D40="IT", J40&gt;100000), "YES", "NO")</f>
        <v>YES</v>
      </c>
      <c r="R40" s="14">
        <f>YEAR(TBL_Employees[[#This Row],[Hire Date]])</f>
        <v>2013</v>
      </c>
    </row>
    <row r="41" spans="1:18" x14ac:dyDescent="0.35">
      <c r="A41" t="s">
        <v>140</v>
      </c>
      <c r="B41" t="s">
        <v>141</v>
      </c>
      <c r="C41" t="s">
        <v>132</v>
      </c>
      <c r="D41" t="s">
        <v>17</v>
      </c>
      <c r="E41" t="s">
        <v>50</v>
      </c>
      <c r="F41" t="s">
        <v>19</v>
      </c>
      <c r="G41" t="s">
        <v>86</v>
      </c>
      <c r="H41">
        <v>57</v>
      </c>
      <c r="I41" s="5">
        <v>34337</v>
      </c>
      <c r="J41" s="11">
        <v>82872</v>
      </c>
      <c r="K41" s="6">
        <v>0</v>
      </c>
      <c r="L41" t="s">
        <v>94</v>
      </c>
      <c r="M41" t="s">
        <v>95</v>
      </c>
      <c r="N41" s="5" t="s">
        <v>31</v>
      </c>
      <c r="O41">
        <f>TBL_Employees[[#This Row],[Bonus %]]*TBL_Employees[[#This Row],[Annual Salary]]</f>
        <v>0</v>
      </c>
      <c r="P41" t="str">
        <f>IF(TBL_Employees[[#This Row],[Age]]&gt;50,"Senior","Junior")</f>
        <v>Senior</v>
      </c>
      <c r="Q41" s="14" t="str">
        <f>IF(OR(D41="IT", J41&gt;100000), "YES", "NO")</f>
        <v>YES</v>
      </c>
      <c r="R41" s="14">
        <f>YEAR(TBL_Employees[[#This Row],[Hire Date]])</f>
        <v>1994</v>
      </c>
    </row>
    <row r="42" spans="1:18" x14ac:dyDescent="0.35">
      <c r="A42" t="s">
        <v>142</v>
      </c>
      <c r="B42" t="s">
        <v>143</v>
      </c>
      <c r="C42" t="s">
        <v>144</v>
      </c>
      <c r="D42" t="s">
        <v>66</v>
      </c>
      <c r="E42" t="s">
        <v>36</v>
      </c>
      <c r="F42" t="s">
        <v>27</v>
      </c>
      <c r="G42" t="s">
        <v>28</v>
      </c>
      <c r="H42">
        <v>30</v>
      </c>
      <c r="I42" s="5">
        <v>42884</v>
      </c>
      <c r="J42" s="11">
        <v>86317</v>
      </c>
      <c r="K42" s="6">
        <v>0</v>
      </c>
      <c r="L42" t="s">
        <v>29</v>
      </c>
      <c r="M42" t="s">
        <v>135</v>
      </c>
      <c r="N42" s="5">
        <v>42932</v>
      </c>
      <c r="O42">
        <f>TBL_Employees[[#This Row],[Bonus %]]*TBL_Employees[[#This Row],[Annual Salary]]</f>
        <v>0</v>
      </c>
      <c r="P42" t="str">
        <f>IF(TBL_Employees[[#This Row],[Age]]&gt;50,"Senior","Junior")</f>
        <v>Junior</v>
      </c>
      <c r="Q42" s="14" t="str">
        <f>IF(OR(D42="IT", J42&gt;100000), "YES", "NO")</f>
        <v>NO</v>
      </c>
      <c r="R42" s="14">
        <f>YEAR(TBL_Employees[[#This Row],[Hire Date]])</f>
        <v>2017</v>
      </c>
    </row>
    <row r="43" spans="1:18" x14ac:dyDescent="0.35">
      <c r="A43" t="s">
        <v>145</v>
      </c>
      <c r="B43" t="s">
        <v>146</v>
      </c>
      <c r="C43" t="s">
        <v>53</v>
      </c>
      <c r="D43" t="s">
        <v>81</v>
      </c>
      <c r="E43" t="s">
        <v>36</v>
      </c>
      <c r="F43" t="s">
        <v>19</v>
      </c>
      <c r="G43" t="s">
        <v>37</v>
      </c>
      <c r="H43">
        <v>53</v>
      </c>
      <c r="I43" s="5">
        <v>41601</v>
      </c>
      <c r="J43" s="11">
        <v>113135</v>
      </c>
      <c r="K43" s="6">
        <v>0.05</v>
      </c>
      <c r="L43" t="s">
        <v>21</v>
      </c>
      <c r="M43" t="s">
        <v>61</v>
      </c>
      <c r="N43" s="5" t="s">
        <v>31</v>
      </c>
      <c r="O43">
        <f>TBL_Employees[[#This Row],[Bonus %]]*TBL_Employees[[#This Row],[Annual Salary]]</f>
        <v>5656.75</v>
      </c>
      <c r="P43" t="str">
        <f>IF(TBL_Employees[[#This Row],[Age]]&gt;50,"Senior","Junior")</f>
        <v>Senior</v>
      </c>
      <c r="Q43" s="14" t="str">
        <f>IF(OR(D43="IT", J43&gt;100000), "YES", "NO")</f>
        <v>YES</v>
      </c>
      <c r="R43" s="14">
        <f>YEAR(TBL_Employees[[#This Row],[Hire Date]])</f>
        <v>2013</v>
      </c>
    </row>
    <row r="44" spans="1:18" x14ac:dyDescent="0.35">
      <c r="A44" t="s">
        <v>147</v>
      </c>
      <c r="B44" t="s">
        <v>148</v>
      </c>
      <c r="C44" t="s">
        <v>80</v>
      </c>
      <c r="D44" t="s">
        <v>17</v>
      </c>
      <c r="E44" t="s">
        <v>36</v>
      </c>
      <c r="F44" t="s">
        <v>27</v>
      </c>
      <c r="G44" t="s">
        <v>37</v>
      </c>
      <c r="H44">
        <v>52</v>
      </c>
      <c r="I44" s="5">
        <v>38664</v>
      </c>
      <c r="J44" s="11">
        <v>199808</v>
      </c>
      <c r="K44" s="6">
        <v>0.32</v>
      </c>
      <c r="L44" t="s">
        <v>21</v>
      </c>
      <c r="M44" t="s">
        <v>22</v>
      </c>
      <c r="N44" s="5" t="s">
        <v>31</v>
      </c>
      <c r="O44">
        <f>TBL_Employees[[#This Row],[Bonus %]]*TBL_Employees[[#This Row],[Annual Salary]]</f>
        <v>63938.560000000005</v>
      </c>
      <c r="P44" t="str">
        <f>IF(TBL_Employees[[#This Row],[Age]]&gt;50,"Senior","Junior")</f>
        <v>Senior</v>
      </c>
      <c r="Q44" s="14" t="str">
        <f>IF(OR(D44="IT", J44&gt;100000), "YES", "NO")</f>
        <v>YES</v>
      </c>
      <c r="R44" s="14">
        <f>YEAR(TBL_Employees[[#This Row],[Hire Date]])</f>
        <v>2005</v>
      </c>
    </row>
    <row r="45" spans="1:18" x14ac:dyDescent="0.35">
      <c r="A45" t="s">
        <v>149</v>
      </c>
      <c r="B45" t="s">
        <v>150</v>
      </c>
      <c r="C45" t="s">
        <v>48</v>
      </c>
      <c r="D45" t="s">
        <v>49</v>
      </c>
      <c r="E45" t="s">
        <v>36</v>
      </c>
      <c r="F45" t="s">
        <v>27</v>
      </c>
      <c r="G45" t="s">
        <v>28</v>
      </c>
      <c r="H45">
        <v>37</v>
      </c>
      <c r="I45" s="5">
        <v>41592</v>
      </c>
      <c r="J45" s="11">
        <v>56037</v>
      </c>
      <c r="K45" s="6">
        <v>0</v>
      </c>
      <c r="L45" t="s">
        <v>29</v>
      </c>
      <c r="M45" t="s">
        <v>75</v>
      </c>
      <c r="N45" s="5" t="s">
        <v>31</v>
      </c>
      <c r="O45">
        <f>TBL_Employees[[#This Row],[Bonus %]]*TBL_Employees[[#This Row],[Annual Salary]]</f>
        <v>0</v>
      </c>
      <c r="P45" t="str">
        <f>IF(TBL_Employees[[#This Row],[Age]]&gt;50,"Senior","Junior")</f>
        <v>Junior</v>
      </c>
      <c r="Q45" s="14" t="str">
        <f>IF(OR(D45="IT", J45&gt;100000), "YES", "NO")</f>
        <v>NO</v>
      </c>
      <c r="R45" s="14">
        <f>YEAR(TBL_Employees[[#This Row],[Hire Date]])</f>
        <v>2013</v>
      </c>
    </row>
    <row r="46" spans="1:18" x14ac:dyDescent="0.35">
      <c r="A46" t="s">
        <v>151</v>
      </c>
      <c r="B46" t="s">
        <v>152</v>
      </c>
      <c r="C46" t="s">
        <v>16</v>
      </c>
      <c r="D46" t="s">
        <v>81</v>
      </c>
      <c r="E46" t="s">
        <v>18</v>
      </c>
      <c r="F46" t="s">
        <v>19</v>
      </c>
      <c r="G46" t="s">
        <v>37</v>
      </c>
      <c r="H46">
        <v>29</v>
      </c>
      <c r="I46" s="5">
        <v>43609</v>
      </c>
      <c r="J46" s="11">
        <v>122350</v>
      </c>
      <c r="K46" s="6">
        <v>0.12</v>
      </c>
      <c r="L46" t="s">
        <v>21</v>
      </c>
      <c r="M46" t="s">
        <v>45</v>
      </c>
      <c r="N46" s="5" t="s">
        <v>31</v>
      </c>
      <c r="O46">
        <f>TBL_Employees[[#This Row],[Bonus %]]*TBL_Employees[[#This Row],[Annual Salary]]</f>
        <v>14682</v>
      </c>
      <c r="P46" t="str">
        <f>IF(TBL_Employees[[#This Row],[Age]]&gt;50,"Senior","Junior")</f>
        <v>Junior</v>
      </c>
      <c r="Q46" s="14" t="str">
        <f>IF(OR(D46="IT", J46&gt;100000), "YES", "NO")</f>
        <v>YES</v>
      </c>
      <c r="R46" s="14">
        <f>YEAR(TBL_Employees[[#This Row],[Hire Date]])</f>
        <v>2019</v>
      </c>
    </row>
    <row r="47" spans="1:18" x14ac:dyDescent="0.35">
      <c r="A47" t="s">
        <v>153</v>
      </c>
      <c r="B47" t="s">
        <v>154</v>
      </c>
      <c r="C47" t="s">
        <v>132</v>
      </c>
      <c r="D47" t="s">
        <v>17</v>
      </c>
      <c r="E47" t="s">
        <v>18</v>
      </c>
      <c r="F47" t="s">
        <v>27</v>
      </c>
      <c r="G47" t="s">
        <v>37</v>
      </c>
      <c r="H47">
        <v>40</v>
      </c>
      <c r="I47" s="5">
        <v>40486</v>
      </c>
      <c r="J47" s="11">
        <v>92952</v>
      </c>
      <c r="K47" s="6">
        <v>0</v>
      </c>
      <c r="L47" t="s">
        <v>21</v>
      </c>
      <c r="M47" t="s">
        <v>22</v>
      </c>
      <c r="N47" s="5" t="s">
        <v>31</v>
      </c>
      <c r="O47">
        <f>TBL_Employees[[#This Row],[Bonus %]]*TBL_Employees[[#This Row],[Annual Salary]]</f>
        <v>0</v>
      </c>
      <c r="P47" t="str">
        <f>IF(TBL_Employees[[#This Row],[Age]]&gt;50,"Senior","Junior")</f>
        <v>Junior</v>
      </c>
      <c r="Q47" s="14" t="str">
        <f>IF(OR(D47="IT", J47&gt;100000), "YES", "NO")</f>
        <v>YES</v>
      </c>
      <c r="R47" s="14">
        <f>YEAR(TBL_Employees[[#This Row],[Hire Date]])</f>
        <v>2010</v>
      </c>
    </row>
    <row r="48" spans="1:18" x14ac:dyDescent="0.35">
      <c r="A48" t="s">
        <v>155</v>
      </c>
      <c r="B48" t="s">
        <v>156</v>
      </c>
      <c r="C48" t="s">
        <v>41</v>
      </c>
      <c r="D48" t="s">
        <v>17</v>
      </c>
      <c r="E48" t="s">
        <v>50</v>
      </c>
      <c r="F48" t="s">
        <v>27</v>
      </c>
      <c r="G48" t="s">
        <v>86</v>
      </c>
      <c r="H48">
        <v>32</v>
      </c>
      <c r="I48" s="5">
        <v>41353</v>
      </c>
      <c r="J48" s="11">
        <v>79921</v>
      </c>
      <c r="K48" s="6">
        <v>0.05</v>
      </c>
      <c r="L48" t="s">
        <v>21</v>
      </c>
      <c r="M48" t="s">
        <v>61</v>
      </c>
      <c r="N48" s="5" t="s">
        <v>31</v>
      </c>
      <c r="O48">
        <f>TBL_Employees[[#This Row],[Bonus %]]*TBL_Employees[[#This Row],[Annual Salary]]</f>
        <v>3996.05</v>
      </c>
      <c r="P48" t="str">
        <f>IF(TBL_Employees[[#This Row],[Age]]&gt;50,"Senior","Junior")</f>
        <v>Junior</v>
      </c>
      <c r="Q48" s="14" t="str">
        <f>IF(OR(D48="IT", J48&gt;100000), "YES", "NO")</f>
        <v>YES</v>
      </c>
      <c r="R48" s="14">
        <f>YEAR(TBL_Employees[[#This Row],[Hire Date]])</f>
        <v>2013</v>
      </c>
    </row>
    <row r="49" spans="1:18" x14ac:dyDescent="0.35">
      <c r="A49" t="s">
        <v>157</v>
      </c>
      <c r="B49" t="s">
        <v>158</v>
      </c>
      <c r="C49" t="s">
        <v>34</v>
      </c>
      <c r="D49" t="s">
        <v>17</v>
      </c>
      <c r="E49" t="s">
        <v>18</v>
      </c>
      <c r="F49" t="s">
        <v>19</v>
      </c>
      <c r="G49" t="s">
        <v>20</v>
      </c>
      <c r="H49">
        <v>37</v>
      </c>
      <c r="I49" s="5">
        <v>40076</v>
      </c>
      <c r="J49" s="11">
        <v>167199</v>
      </c>
      <c r="K49" s="6">
        <v>0.2</v>
      </c>
      <c r="L49" t="s">
        <v>21</v>
      </c>
      <c r="M49" t="s">
        <v>22</v>
      </c>
      <c r="N49" s="5" t="s">
        <v>31</v>
      </c>
      <c r="O49">
        <f>TBL_Employees[[#This Row],[Bonus %]]*TBL_Employees[[#This Row],[Annual Salary]]</f>
        <v>33439.800000000003</v>
      </c>
      <c r="P49" t="str">
        <f>IF(TBL_Employees[[#This Row],[Age]]&gt;50,"Senior","Junior")</f>
        <v>Junior</v>
      </c>
      <c r="Q49" s="14" t="str">
        <f>IF(OR(D49="IT", J49&gt;100000), "YES", "NO")</f>
        <v>YES</v>
      </c>
      <c r="R49" s="14">
        <f>YEAR(TBL_Employees[[#This Row],[Hire Date]])</f>
        <v>2009</v>
      </c>
    </row>
    <row r="50" spans="1:18" x14ac:dyDescent="0.35">
      <c r="A50" t="s">
        <v>159</v>
      </c>
      <c r="B50" t="s">
        <v>160</v>
      </c>
      <c r="C50" t="s">
        <v>109</v>
      </c>
      <c r="D50" t="s">
        <v>70</v>
      </c>
      <c r="E50" t="s">
        <v>18</v>
      </c>
      <c r="F50" t="s">
        <v>27</v>
      </c>
      <c r="G50" t="s">
        <v>37</v>
      </c>
      <c r="H50">
        <v>52</v>
      </c>
      <c r="I50" s="5">
        <v>41199</v>
      </c>
      <c r="J50" s="11">
        <v>71476</v>
      </c>
      <c r="K50" s="6">
        <v>0</v>
      </c>
      <c r="L50" t="s">
        <v>21</v>
      </c>
      <c r="M50" t="s">
        <v>45</v>
      </c>
      <c r="N50" s="5" t="s">
        <v>31</v>
      </c>
      <c r="O50">
        <f>TBL_Employees[[#This Row],[Bonus %]]*TBL_Employees[[#This Row],[Annual Salary]]</f>
        <v>0</v>
      </c>
      <c r="P50" t="str">
        <f>IF(TBL_Employees[[#This Row],[Age]]&gt;50,"Senior","Junior")</f>
        <v>Senior</v>
      </c>
      <c r="Q50" s="14" t="str">
        <f>IF(OR(D50="IT", J50&gt;100000), "YES", "NO")</f>
        <v>NO</v>
      </c>
      <c r="R50" s="14">
        <f>YEAR(TBL_Employees[[#This Row],[Hire Date]])</f>
        <v>2012</v>
      </c>
    </row>
    <row r="51" spans="1:18" x14ac:dyDescent="0.35">
      <c r="A51" t="s">
        <v>161</v>
      </c>
      <c r="B51" t="s">
        <v>162</v>
      </c>
      <c r="C51" t="s">
        <v>34</v>
      </c>
      <c r="D51" t="s">
        <v>70</v>
      </c>
      <c r="E51" t="s">
        <v>26</v>
      </c>
      <c r="F51" t="s">
        <v>19</v>
      </c>
      <c r="G51" t="s">
        <v>37</v>
      </c>
      <c r="H51">
        <v>45</v>
      </c>
      <c r="I51" s="5">
        <v>41941</v>
      </c>
      <c r="J51" s="11">
        <v>189420</v>
      </c>
      <c r="K51" s="6">
        <v>0.2</v>
      </c>
      <c r="L51" t="s">
        <v>21</v>
      </c>
      <c r="M51" t="s">
        <v>22</v>
      </c>
      <c r="N51" s="5" t="s">
        <v>31</v>
      </c>
      <c r="O51">
        <f>TBL_Employees[[#This Row],[Bonus %]]*TBL_Employees[[#This Row],[Annual Salary]]</f>
        <v>37884</v>
      </c>
      <c r="P51" t="str">
        <f>IF(TBL_Employees[[#This Row],[Age]]&gt;50,"Senior","Junior")</f>
        <v>Junior</v>
      </c>
      <c r="Q51" s="14" t="str">
        <f>IF(OR(D51="IT", J51&gt;100000), "YES", "NO")</f>
        <v>YES</v>
      </c>
      <c r="R51" s="14">
        <f>YEAR(TBL_Employees[[#This Row],[Hire Date]])</f>
        <v>2014</v>
      </c>
    </row>
    <row r="52" spans="1:18" x14ac:dyDescent="0.35">
      <c r="A52" t="s">
        <v>163</v>
      </c>
      <c r="B52" t="s">
        <v>164</v>
      </c>
      <c r="C52" t="s">
        <v>165</v>
      </c>
      <c r="D52" t="s">
        <v>66</v>
      </c>
      <c r="E52" t="s">
        <v>18</v>
      </c>
      <c r="F52" t="s">
        <v>19</v>
      </c>
      <c r="G52" t="s">
        <v>37</v>
      </c>
      <c r="H52">
        <v>64</v>
      </c>
      <c r="I52" s="5">
        <v>37184</v>
      </c>
      <c r="J52" s="11">
        <v>64057</v>
      </c>
      <c r="K52" s="6">
        <v>0</v>
      </c>
      <c r="L52" t="s">
        <v>21</v>
      </c>
      <c r="M52" t="s">
        <v>45</v>
      </c>
      <c r="N52" s="5" t="s">
        <v>31</v>
      </c>
      <c r="O52">
        <f>TBL_Employees[[#This Row],[Bonus %]]*TBL_Employees[[#This Row],[Annual Salary]]</f>
        <v>0</v>
      </c>
      <c r="P52" t="str">
        <f>IF(TBL_Employees[[#This Row],[Age]]&gt;50,"Senior","Junior")</f>
        <v>Senior</v>
      </c>
      <c r="Q52" s="14" t="str">
        <f>IF(OR(D52="IT", J52&gt;100000), "YES", "NO")</f>
        <v>NO</v>
      </c>
      <c r="R52" s="14">
        <f>YEAR(TBL_Employees[[#This Row],[Hire Date]])</f>
        <v>2001</v>
      </c>
    </row>
    <row r="53" spans="1:18" x14ac:dyDescent="0.35">
      <c r="A53" t="s">
        <v>166</v>
      </c>
      <c r="B53" t="s">
        <v>167</v>
      </c>
      <c r="C53" t="s">
        <v>125</v>
      </c>
      <c r="D53" t="s">
        <v>81</v>
      </c>
      <c r="E53" t="s">
        <v>26</v>
      </c>
      <c r="F53" t="s">
        <v>19</v>
      </c>
      <c r="G53" t="s">
        <v>20</v>
      </c>
      <c r="H53">
        <v>27</v>
      </c>
      <c r="I53" s="5">
        <v>44460</v>
      </c>
      <c r="J53" s="11">
        <v>68728</v>
      </c>
      <c r="K53" s="6">
        <v>0</v>
      </c>
      <c r="L53" t="s">
        <v>21</v>
      </c>
      <c r="M53" t="s">
        <v>45</v>
      </c>
      <c r="N53" s="5" t="s">
        <v>31</v>
      </c>
      <c r="O53">
        <f>TBL_Employees[[#This Row],[Bonus %]]*TBL_Employees[[#This Row],[Annual Salary]]</f>
        <v>0</v>
      </c>
      <c r="P53" t="str">
        <f>IF(TBL_Employees[[#This Row],[Age]]&gt;50,"Senior","Junior")</f>
        <v>Junior</v>
      </c>
      <c r="Q53" s="14" t="str">
        <f>IF(OR(D53="IT", J53&gt;100000), "YES", "NO")</f>
        <v>NO</v>
      </c>
      <c r="R53" s="14">
        <f>YEAR(TBL_Employees[[#This Row],[Hire Date]])</f>
        <v>2021</v>
      </c>
    </row>
    <row r="54" spans="1:18" x14ac:dyDescent="0.35">
      <c r="A54" t="s">
        <v>168</v>
      </c>
      <c r="B54" t="s">
        <v>169</v>
      </c>
      <c r="C54" t="s">
        <v>16</v>
      </c>
      <c r="D54" t="s">
        <v>17</v>
      </c>
      <c r="E54" t="s">
        <v>26</v>
      </c>
      <c r="F54" t="s">
        <v>19</v>
      </c>
      <c r="G54" t="s">
        <v>28</v>
      </c>
      <c r="H54">
        <v>25</v>
      </c>
      <c r="I54" s="5">
        <v>44379</v>
      </c>
      <c r="J54" s="11">
        <v>125633</v>
      </c>
      <c r="K54" s="6">
        <v>0.11</v>
      </c>
      <c r="L54" t="s">
        <v>29</v>
      </c>
      <c r="M54" t="s">
        <v>115</v>
      </c>
      <c r="N54" s="5" t="s">
        <v>31</v>
      </c>
      <c r="O54">
        <f>TBL_Employees[[#This Row],[Bonus %]]*TBL_Employees[[#This Row],[Annual Salary]]</f>
        <v>13819.63</v>
      </c>
      <c r="P54" t="str">
        <f>IF(TBL_Employees[[#This Row],[Age]]&gt;50,"Senior","Junior")</f>
        <v>Junior</v>
      </c>
      <c r="Q54" s="14" t="str">
        <f>IF(OR(D54="IT", J54&gt;100000), "YES", "NO")</f>
        <v>YES</v>
      </c>
      <c r="R54" s="14">
        <f>YEAR(TBL_Employees[[#This Row],[Hire Date]])</f>
        <v>2021</v>
      </c>
    </row>
    <row r="55" spans="1:18" x14ac:dyDescent="0.35">
      <c r="A55" t="s">
        <v>170</v>
      </c>
      <c r="B55" t="s">
        <v>171</v>
      </c>
      <c r="C55" t="s">
        <v>125</v>
      </c>
      <c r="D55" t="s">
        <v>81</v>
      </c>
      <c r="E55" t="s">
        <v>26</v>
      </c>
      <c r="F55" t="s">
        <v>27</v>
      </c>
      <c r="G55" t="s">
        <v>86</v>
      </c>
      <c r="H55">
        <v>35</v>
      </c>
      <c r="I55" s="5">
        <v>40678</v>
      </c>
      <c r="J55" s="11">
        <v>66889</v>
      </c>
      <c r="K55" s="6">
        <v>0</v>
      </c>
      <c r="L55" t="s">
        <v>21</v>
      </c>
      <c r="M55" t="s">
        <v>89</v>
      </c>
      <c r="N55" s="5" t="s">
        <v>31</v>
      </c>
      <c r="O55">
        <f>TBL_Employees[[#This Row],[Bonus %]]*TBL_Employees[[#This Row],[Annual Salary]]</f>
        <v>0</v>
      </c>
      <c r="P55" t="str">
        <f>IF(TBL_Employees[[#This Row],[Age]]&gt;50,"Senior","Junior")</f>
        <v>Junior</v>
      </c>
      <c r="Q55" s="14" t="str">
        <f>IF(OR(D55="IT", J55&gt;100000), "YES", "NO")</f>
        <v>NO</v>
      </c>
      <c r="R55" s="14">
        <f>YEAR(TBL_Employees[[#This Row],[Hire Date]])</f>
        <v>2011</v>
      </c>
    </row>
    <row r="56" spans="1:18" x14ac:dyDescent="0.35">
      <c r="A56" t="s">
        <v>172</v>
      </c>
      <c r="B56" t="s">
        <v>173</v>
      </c>
      <c r="C56" t="s">
        <v>34</v>
      </c>
      <c r="D56" t="s">
        <v>60</v>
      </c>
      <c r="E56" t="s">
        <v>18</v>
      </c>
      <c r="F56" t="s">
        <v>19</v>
      </c>
      <c r="G56" t="s">
        <v>28</v>
      </c>
      <c r="H56">
        <v>36</v>
      </c>
      <c r="I56" s="5">
        <v>42276</v>
      </c>
      <c r="J56" s="11">
        <v>178700</v>
      </c>
      <c r="K56" s="6">
        <v>0.28999999999999998</v>
      </c>
      <c r="L56" t="s">
        <v>21</v>
      </c>
      <c r="M56" t="s">
        <v>22</v>
      </c>
      <c r="N56" s="5" t="s">
        <v>31</v>
      </c>
      <c r="O56">
        <f>TBL_Employees[[#This Row],[Bonus %]]*TBL_Employees[[#This Row],[Annual Salary]]</f>
        <v>51823</v>
      </c>
      <c r="P56" t="str">
        <f>IF(TBL_Employees[[#This Row],[Age]]&gt;50,"Senior","Junior")</f>
        <v>Junior</v>
      </c>
      <c r="Q56" s="14" t="str">
        <f>IF(OR(D56="IT", J56&gt;100000), "YES", "NO")</f>
        <v>YES</v>
      </c>
      <c r="R56" s="14">
        <f>YEAR(TBL_Employees[[#This Row],[Hire Date]])</f>
        <v>2015</v>
      </c>
    </row>
    <row r="57" spans="1:18" x14ac:dyDescent="0.35">
      <c r="A57" t="s">
        <v>174</v>
      </c>
      <c r="B57" t="s">
        <v>175</v>
      </c>
      <c r="C57" t="s">
        <v>176</v>
      </c>
      <c r="D57" t="s">
        <v>70</v>
      </c>
      <c r="E57" t="s">
        <v>18</v>
      </c>
      <c r="F57" t="s">
        <v>19</v>
      </c>
      <c r="G57" t="s">
        <v>37</v>
      </c>
      <c r="H57">
        <v>33</v>
      </c>
      <c r="I57" s="5">
        <v>43456</v>
      </c>
      <c r="J57" s="11">
        <v>83990</v>
      </c>
      <c r="K57" s="6">
        <v>0</v>
      </c>
      <c r="L57" t="s">
        <v>21</v>
      </c>
      <c r="M57" t="s">
        <v>38</v>
      </c>
      <c r="N57" s="5" t="s">
        <v>31</v>
      </c>
      <c r="O57">
        <f>TBL_Employees[[#This Row],[Bonus %]]*TBL_Employees[[#This Row],[Annual Salary]]</f>
        <v>0</v>
      </c>
      <c r="P57" t="str">
        <f>IF(TBL_Employees[[#This Row],[Age]]&gt;50,"Senior","Junior")</f>
        <v>Junior</v>
      </c>
      <c r="Q57" s="14" t="str">
        <f>IF(OR(D57="IT", J57&gt;100000), "YES", "NO")</f>
        <v>NO</v>
      </c>
      <c r="R57" s="14">
        <f>YEAR(TBL_Employees[[#This Row],[Hire Date]])</f>
        <v>2018</v>
      </c>
    </row>
    <row r="58" spans="1:18" x14ac:dyDescent="0.35">
      <c r="A58" t="s">
        <v>177</v>
      </c>
      <c r="B58" t="s">
        <v>178</v>
      </c>
      <c r="C58" t="s">
        <v>179</v>
      </c>
      <c r="D58" t="s">
        <v>70</v>
      </c>
      <c r="E58" t="s">
        <v>50</v>
      </c>
      <c r="F58" t="s">
        <v>19</v>
      </c>
      <c r="G58" t="s">
        <v>37</v>
      </c>
      <c r="H58">
        <v>52</v>
      </c>
      <c r="I58" s="5">
        <v>38696</v>
      </c>
      <c r="J58" s="11">
        <v>102043</v>
      </c>
      <c r="K58" s="6">
        <v>0</v>
      </c>
      <c r="L58" t="s">
        <v>21</v>
      </c>
      <c r="M58" t="s">
        <v>38</v>
      </c>
      <c r="N58" s="5" t="s">
        <v>31</v>
      </c>
      <c r="O58">
        <f>TBL_Employees[[#This Row],[Bonus %]]*TBL_Employees[[#This Row],[Annual Salary]]</f>
        <v>0</v>
      </c>
      <c r="P58" t="str">
        <f>IF(TBL_Employees[[#This Row],[Age]]&gt;50,"Senior","Junior")</f>
        <v>Senior</v>
      </c>
      <c r="Q58" s="14" t="str">
        <f>IF(OR(D58="IT", J58&gt;100000), "YES", "NO")</f>
        <v>YES</v>
      </c>
      <c r="R58" s="14">
        <f>YEAR(TBL_Employees[[#This Row],[Hire Date]])</f>
        <v>2005</v>
      </c>
    </row>
    <row r="59" spans="1:18" x14ac:dyDescent="0.35">
      <c r="A59" t="s">
        <v>180</v>
      </c>
      <c r="B59" t="s">
        <v>181</v>
      </c>
      <c r="C59" t="s">
        <v>182</v>
      </c>
      <c r="D59" t="s">
        <v>70</v>
      </c>
      <c r="E59" t="s">
        <v>26</v>
      </c>
      <c r="F59" t="s">
        <v>19</v>
      </c>
      <c r="G59" t="s">
        <v>28</v>
      </c>
      <c r="H59">
        <v>46</v>
      </c>
      <c r="I59" s="5">
        <v>37041</v>
      </c>
      <c r="J59" s="11">
        <v>90678</v>
      </c>
      <c r="K59" s="6">
        <v>0</v>
      </c>
      <c r="L59" t="s">
        <v>21</v>
      </c>
      <c r="M59" t="s">
        <v>89</v>
      </c>
      <c r="N59" s="5" t="s">
        <v>31</v>
      </c>
      <c r="O59">
        <f>TBL_Employees[[#This Row],[Bonus %]]*TBL_Employees[[#This Row],[Annual Salary]]</f>
        <v>0</v>
      </c>
      <c r="P59" t="str">
        <f>IF(TBL_Employees[[#This Row],[Age]]&gt;50,"Senior","Junior")</f>
        <v>Junior</v>
      </c>
      <c r="Q59" s="14" t="str">
        <f>IF(OR(D59="IT", J59&gt;100000), "YES", "NO")</f>
        <v>NO</v>
      </c>
      <c r="R59" s="14">
        <f>YEAR(TBL_Employees[[#This Row],[Hire Date]])</f>
        <v>2001</v>
      </c>
    </row>
    <row r="60" spans="1:18" x14ac:dyDescent="0.35">
      <c r="A60" t="s">
        <v>183</v>
      </c>
      <c r="B60" t="s">
        <v>184</v>
      </c>
      <c r="C60" t="s">
        <v>185</v>
      </c>
      <c r="D60" t="s">
        <v>66</v>
      </c>
      <c r="E60" t="s">
        <v>26</v>
      </c>
      <c r="F60" t="s">
        <v>19</v>
      </c>
      <c r="G60" t="s">
        <v>20</v>
      </c>
      <c r="H60">
        <v>46</v>
      </c>
      <c r="I60" s="5">
        <v>39681</v>
      </c>
      <c r="J60" s="11">
        <v>59067</v>
      </c>
      <c r="K60" s="6">
        <v>0</v>
      </c>
      <c r="L60" t="s">
        <v>21</v>
      </c>
      <c r="M60" t="s">
        <v>57</v>
      </c>
      <c r="N60" s="5" t="s">
        <v>31</v>
      </c>
      <c r="O60">
        <f>TBL_Employees[[#This Row],[Bonus %]]*TBL_Employees[[#This Row],[Annual Salary]]</f>
        <v>0</v>
      </c>
      <c r="P60" t="str">
        <f>IF(TBL_Employees[[#This Row],[Age]]&gt;50,"Senior","Junior")</f>
        <v>Junior</v>
      </c>
      <c r="Q60" s="14" t="str">
        <f>IF(OR(D60="IT", J60&gt;100000), "YES", "NO")</f>
        <v>NO</v>
      </c>
      <c r="R60" s="14">
        <f>YEAR(TBL_Employees[[#This Row],[Hire Date]])</f>
        <v>2008</v>
      </c>
    </row>
    <row r="61" spans="1:18" x14ac:dyDescent="0.35">
      <c r="A61" t="s">
        <v>186</v>
      </c>
      <c r="B61" t="s">
        <v>187</v>
      </c>
      <c r="C61" t="s">
        <v>16</v>
      </c>
      <c r="D61" t="s">
        <v>81</v>
      </c>
      <c r="E61" t="s">
        <v>18</v>
      </c>
      <c r="F61" t="s">
        <v>27</v>
      </c>
      <c r="G61" t="s">
        <v>28</v>
      </c>
      <c r="H61">
        <v>45</v>
      </c>
      <c r="I61" s="5">
        <v>44266</v>
      </c>
      <c r="J61" s="11">
        <v>135062</v>
      </c>
      <c r="K61" s="6">
        <v>0.15</v>
      </c>
      <c r="L61" t="s">
        <v>29</v>
      </c>
      <c r="M61" t="s">
        <v>135</v>
      </c>
      <c r="N61" s="5" t="s">
        <v>31</v>
      </c>
      <c r="O61">
        <f>TBL_Employees[[#This Row],[Bonus %]]*TBL_Employees[[#This Row],[Annual Salary]]</f>
        <v>20259.3</v>
      </c>
      <c r="P61" t="str">
        <f>IF(TBL_Employees[[#This Row],[Age]]&gt;50,"Senior","Junior")</f>
        <v>Junior</v>
      </c>
      <c r="Q61" s="14" t="str">
        <f>IF(OR(D61="IT", J61&gt;100000), "YES", "NO")</f>
        <v>YES</v>
      </c>
      <c r="R61" s="14">
        <f>YEAR(TBL_Employees[[#This Row],[Hire Date]])</f>
        <v>2021</v>
      </c>
    </row>
    <row r="62" spans="1:18" x14ac:dyDescent="0.35">
      <c r="A62" t="s">
        <v>188</v>
      </c>
      <c r="B62" t="s">
        <v>189</v>
      </c>
      <c r="C62" t="s">
        <v>16</v>
      </c>
      <c r="D62" t="s">
        <v>17</v>
      </c>
      <c r="E62" t="s">
        <v>50</v>
      </c>
      <c r="F62" t="s">
        <v>19</v>
      </c>
      <c r="G62" t="s">
        <v>86</v>
      </c>
      <c r="H62">
        <v>55</v>
      </c>
      <c r="I62" s="5">
        <v>38945</v>
      </c>
      <c r="J62" s="11">
        <v>159044</v>
      </c>
      <c r="K62" s="6">
        <v>0.1</v>
      </c>
      <c r="L62" t="s">
        <v>94</v>
      </c>
      <c r="M62" t="s">
        <v>95</v>
      </c>
      <c r="N62" s="5" t="s">
        <v>31</v>
      </c>
      <c r="O62">
        <f>TBL_Employees[[#This Row],[Bonus %]]*TBL_Employees[[#This Row],[Annual Salary]]</f>
        <v>15904.400000000001</v>
      </c>
      <c r="P62" t="str">
        <f>IF(TBL_Employees[[#This Row],[Age]]&gt;50,"Senior","Junior")</f>
        <v>Senior</v>
      </c>
      <c r="Q62" s="14" t="str">
        <f>IF(OR(D62="IT", J62&gt;100000), "YES", "NO")</f>
        <v>YES</v>
      </c>
      <c r="R62" s="14">
        <f>YEAR(TBL_Employees[[#This Row],[Hire Date]])</f>
        <v>2006</v>
      </c>
    </row>
    <row r="63" spans="1:18" x14ac:dyDescent="0.35">
      <c r="A63" t="s">
        <v>190</v>
      </c>
      <c r="B63" t="s">
        <v>191</v>
      </c>
      <c r="C63" t="s">
        <v>44</v>
      </c>
      <c r="D63" t="s">
        <v>60</v>
      </c>
      <c r="E63" t="s">
        <v>26</v>
      </c>
      <c r="F63" t="s">
        <v>19</v>
      </c>
      <c r="G63" t="s">
        <v>86</v>
      </c>
      <c r="H63">
        <v>44</v>
      </c>
      <c r="I63" s="5">
        <v>43467</v>
      </c>
      <c r="J63" s="11">
        <v>74691</v>
      </c>
      <c r="K63" s="6">
        <v>0</v>
      </c>
      <c r="L63" t="s">
        <v>94</v>
      </c>
      <c r="M63" t="s">
        <v>95</v>
      </c>
      <c r="N63" s="5">
        <v>44020</v>
      </c>
      <c r="O63">
        <f>TBL_Employees[[#This Row],[Bonus %]]*TBL_Employees[[#This Row],[Annual Salary]]</f>
        <v>0</v>
      </c>
      <c r="P63" t="str">
        <f>IF(TBL_Employees[[#This Row],[Age]]&gt;50,"Senior","Junior")</f>
        <v>Junior</v>
      </c>
      <c r="Q63" s="14" t="str">
        <f>IF(OR(D63="IT", J63&gt;100000), "YES", "NO")</f>
        <v>NO</v>
      </c>
      <c r="R63" s="14">
        <f>YEAR(TBL_Employees[[#This Row],[Hire Date]])</f>
        <v>2019</v>
      </c>
    </row>
    <row r="64" spans="1:18" x14ac:dyDescent="0.35">
      <c r="A64" t="s">
        <v>192</v>
      </c>
      <c r="B64" t="s">
        <v>193</v>
      </c>
      <c r="C64" t="s">
        <v>114</v>
      </c>
      <c r="D64" t="s">
        <v>70</v>
      </c>
      <c r="E64" t="s">
        <v>50</v>
      </c>
      <c r="F64" t="s">
        <v>19</v>
      </c>
      <c r="G64" t="s">
        <v>86</v>
      </c>
      <c r="H64">
        <v>44</v>
      </c>
      <c r="I64" s="5">
        <v>39800</v>
      </c>
      <c r="J64" s="11">
        <v>92753</v>
      </c>
      <c r="K64" s="6">
        <v>0.13</v>
      </c>
      <c r="L64" t="s">
        <v>21</v>
      </c>
      <c r="M64" t="s">
        <v>61</v>
      </c>
      <c r="N64" s="5">
        <v>44371</v>
      </c>
      <c r="O64">
        <f>TBL_Employees[[#This Row],[Bonus %]]*TBL_Employees[[#This Row],[Annual Salary]]</f>
        <v>12057.890000000001</v>
      </c>
      <c r="P64" t="str">
        <f>IF(TBL_Employees[[#This Row],[Age]]&gt;50,"Senior","Junior")</f>
        <v>Junior</v>
      </c>
      <c r="Q64" s="14" t="str">
        <f>IF(OR(D64="IT", J64&gt;100000), "YES", "NO")</f>
        <v>NO</v>
      </c>
      <c r="R64" s="14">
        <f>YEAR(TBL_Employees[[#This Row],[Hire Date]])</f>
        <v>2008</v>
      </c>
    </row>
    <row r="65" spans="1:18" x14ac:dyDescent="0.35">
      <c r="A65" t="s">
        <v>194</v>
      </c>
      <c r="B65" t="s">
        <v>195</v>
      </c>
      <c r="C65" t="s">
        <v>80</v>
      </c>
      <c r="D65" t="s">
        <v>66</v>
      </c>
      <c r="E65" t="s">
        <v>36</v>
      </c>
      <c r="F65" t="s">
        <v>27</v>
      </c>
      <c r="G65" t="s">
        <v>20</v>
      </c>
      <c r="H65">
        <v>45</v>
      </c>
      <c r="I65" s="5">
        <v>41493</v>
      </c>
      <c r="J65" s="11">
        <v>236946</v>
      </c>
      <c r="K65" s="6">
        <v>0.37</v>
      </c>
      <c r="L65" t="s">
        <v>21</v>
      </c>
      <c r="M65" t="s">
        <v>22</v>
      </c>
      <c r="N65" s="5" t="s">
        <v>31</v>
      </c>
      <c r="O65">
        <f>TBL_Employees[[#This Row],[Bonus %]]*TBL_Employees[[#This Row],[Annual Salary]]</f>
        <v>87670.02</v>
      </c>
      <c r="P65" t="str">
        <f>IF(TBL_Employees[[#This Row],[Age]]&gt;50,"Senior","Junior")</f>
        <v>Junior</v>
      </c>
      <c r="Q65" s="14" t="str">
        <f>IF(OR(D65="IT", J65&gt;100000), "YES", "NO")</f>
        <v>YES</v>
      </c>
      <c r="R65" s="14">
        <f>YEAR(TBL_Employees[[#This Row],[Hire Date]])</f>
        <v>2013</v>
      </c>
    </row>
    <row r="66" spans="1:18" x14ac:dyDescent="0.35">
      <c r="A66" t="s">
        <v>196</v>
      </c>
      <c r="B66" t="s">
        <v>197</v>
      </c>
      <c r="C66" t="s">
        <v>56</v>
      </c>
      <c r="D66" t="s">
        <v>35</v>
      </c>
      <c r="E66" t="s">
        <v>50</v>
      </c>
      <c r="F66" t="s">
        <v>19</v>
      </c>
      <c r="G66" t="s">
        <v>20</v>
      </c>
      <c r="H66">
        <v>36</v>
      </c>
      <c r="I66" s="5">
        <v>44435</v>
      </c>
      <c r="J66" s="11">
        <v>48906</v>
      </c>
      <c r="K66" s="6">
        <v>0</v>
      </c>
      <c r="L66" t="s">
        <v>21</v>
      </c>
      <c r="M66" t="s">
        <v>57</v>
      </c>
      <c r="N66" s="5" t="s">
        <v>31</v>
      </c>
      <c r="O66">
        <f>TBL_Employees[[#This Row],[Bonus %]]*TBL_Employees[[#This Row],[Annual Salary]]</f>
        <v>0</v>
      </c>
      <c r="P66" t="str">
        <f>IF(TBL_Employees[[#This Row],[Age]]&gt;50,"Senior","Junior")</f>
        <v>Junior</v>
      </c>
      <c r="Q66" s="14" t="str">
        <f>IF(OR(D66="IT", J66&gt;100000), "YES", "NO")</f>
        <v>NO</v>
      </c>
      <c r="R66" s="14">
        <f>YEAR(TBL_Employees[[#This Row],[Hire Date]])</f>
        <v>2021</v>
      </c>
    </row>
    <row r="67" spans="1:18" x14ac:dyDescent="0.35">
      <c r="A67" t="s">
        <v>198</v>
      </c>
      <c r="B67" t="s">
        <v>199</v>
      </c>
      <c r="C67" t="s">
        <v>44</v>
      </c>
      <c r="D67" t="s">
        <v>49</v>
      </c>
      <c r="E67" t="s">
        <v>50</v>
      </c>
      <c r="F67" t="s">
        <v>19</v>
      </c>
      <c r="G67" t="s">
        <v>37</v>
      </c>
      <c r="H67">
        <v>38</v>
      </c>
      <c r="I67" s="5">
        <v>39474</v>
      </c>
      <c r="J67" s="11">
        <v>80024</v>
      </c>
      <c r="K67" s="6">
        <v>0</v>
      </c>
      <c r="L67" t="s">
        <v>21</v>
      </c>
      <c r="M67" t="s">
        <v>89</v>
      </c>
      <c r="N67" s="5" t="s">
        <v>31</v>
      </c>
      <c r="O67">
        <f>TBL_Employees[[#This Row],[Bonus %]]*TBL_Employees[[#This Row],[Annual Salary]]</f>
        <v>0</v>
      </c>
      <c r="P67" t="str">
        <f>IF(TBL_Employees[[#This Row],[Age]]&gt;50,"Senior","Junior")</f>
        <v>Junior</v>
      </c>
      <c r="Q67" s="14" t="str">
        <f>IF(OR(D67="IT", J67&gt;100000), "YES", "NO")</f>
        <v>NO</v>
      </c>
      <c r="R67" s="14">
        <f>YEAR(TBL_Employees[[#This Row],[Hire Date]])</f>
        <v>2008</v>
      </c>
    </row>
    <row r="68" spans="1:18" x14ac:dyDescent="0.35">
      <c r="A68" t="s">
        <v>200</v>
      </c>
      <c r="B68" t="s">
        <v>201</v>
      </c>
      <c r="C68" t="s">
        <v>165</v>
      </c>
      <c r="D68" t="s">
        <v>66</v>
      </c>
      <c r="E68" t="s">
        <v>36</v>
      </c>
      <c r="F68" t="s">
        <v>19</v>
      </c>
      <c r="G68" t="s">
        <v>37</v>
      </c>
      <c r="H68">
        <v>41</v>
      </c>
      <c r="I68" s="5">
        <v>40109</v>
      </c>
      <c r="J68" s="11">
        <v>54415</v>
      </c>
      <c r="K68" s="6">
        <v>0</v>
      </c>
      <c r="L68" t="s">
        <v>21</v>
      </c>
      <c r="M68" t="s">
        <v>22</v>
      </c>
      <c r="N68" s="5">
        <v>41661</v>
      </c>
      <c r="O68">
        <f>TBL_Employees[[#This Row],[Bonus %]]*TBL_Employees[[#This Row],[Annual Salary]]</f>
        <v>0</v>
      </c>
      <c r="P68" t="str">
        <f>IF(TBL_Employees[[#This Row],[Age]]&gt;50,"Senior","Junior")</f>
        <v>Junior</v>
      </c>
      <c r="Q68" s="14" t="str">
        <f>IF(OR(D68="IT", J68&gt;100000), "YES", "NO")</f>
        <v>NO</v>
      </c>
      <c r="R68" s="14">
        <f>YEAR(TBL_Employees[[#This Row],[Hire Date]])</f>
        <v>2009</v>
      </c>
    </row>
    <row r="69" spans="1:18" x14ac:dyDescent="0.35">
      <c r="A69" t="s">
        <v>202</v>
      </c>
      <c r="B69" t="s">
        <v>203</v>
      </c>
      <c r="C69" t="s">
        <v>53</v>
      </c>
      <c r="D69" t="s">
        <v>81</v>
      </c>
      <c r="E69" t="s">
        <v>18</v>
      </c>
      <c r="F69" t="s">
        <v>19</v>
      </c>
      <c r="G69" t="s">
        <v>28</v>
      </c>
      <c r="H69">
        <v>30</v>
      </c>
      <c r="I69" s="5">
        <v>42484</v>
      </c>
      <c r="J69" s="11">
        <v>120341</v>
      </c>
      <c r="K69" s="6">
        <v>7.0000000000000007E-2</v>
      </c>
      <c r="L69" t="s">
        <v>21</v>
      </c>
      <c r="M69" t="s">
        <v>22</v>
      </c>
      <c r="N69" s="5" t="s">
        <v>31</v>
      </c>
      <c r="O69">
        <f>TBL_Employees[[#This Row],[Bonus %]]*TBL_Employees[[#This Row],[Annual Salary]]</f>
        <v>8423.8700000000008</v>
      </c>
      <c r="P69" t="str">
        <f>IF(TBL_Employees[[#This Row],[Age]]&gt;50,"Senior","Junior")</f>
        <v>Junior</v>
      </c>
      <c r="Q69" s="14" t="str">
        <f>IF(OR(D69="IT", J69&gt;100000), "YES", "NO")</f>
        <v>YES</v>
      </c>
      <c r="R69" s="14">
        <f>YEAR(TBL_Employees[[#This Row],[Hire Date]])</f>
        <v>2016</v>
      </c>
    </row>
    <row r="70" spans="1:18" x14ac:dyDescent="0.35">
      <c r="A70" t="s">
        <v>204</v>
      </c>
      <c r="B70" t="s">
        <v>205</v>
      </c>
      <c r="C70" t="s">
        <v>80</v>
      </c>
      <c r="D70" t="s">
        <v>17</v>
      </c>
      <c r="E70" t="s">
        <v>36</v>
      </c>
      <c r="F70" t="s">
        <v>19</v>
      </c>
      <c r="G70" t="s">
        <v>86</v>
      </c>
      <c r="H70">
        <v>43</v>
      </c>
      <c r="I70" s="5">
        <v>40029</v>
      </c>
      <c r="J70" s="11">
        <v>208415</v>
      </c>
      <c r="K70" s="6">
        <v>0.35</v>
      </c>
      <c r="L70" t="s">
        <v>21</v>
      </c>
      <c r="M70" t="s">
        <v>22</v>
      </c>
      <c r="N70" s="5" t="s">
        <v>31</v>
      </c>
      <c r="O70">
        <f>TBL_Employees[[#This Row],[Bonus %]]*TBL_Employees[[#This Row],[Annual Salary]]</f>
        <v>72945.25</v>
      </c>
      <c r="P70" t="str">
        <f>IF(TBL_Employees[[#This Row],[Age]]&gt;50,"Senior","Junior")</f>
        <v>Junior</v>
      </c>
      <c r="Q70" s="14" t="str">
        <f>IF(OR(D70="IT", J70&gt;100000), "YES", "NO")</f>
        <v>YES</v>
      </c>
      <c r="R70" s="14">
        <f>YEAR(TBL_Employees[[#This Row],[Hire Date]])</f>
        <v>2009</v>
      </c>
    </row>
    <row r="71" spans="1:18" x14ac:dyDescent="0.35">
      <c r="A71" t="s">
        <v>206</v>
      </c>
      <c r="B71" t="s">
        <v>207</v>
      </c>
      <c r="C71" t="s">
        <v>208</v>
      </c>
      <c r="D71" t="s">
        <v>17</v>
      </c>
      <c r="E71" t="s">
        <v>36</v>
      </c>
      <c r="F71" t="s">
        <v>19</v>
      </c>
      <c r="G71" t="s">
        <v>28</v>
      </c>
      <c r="H71">
        <v>32</v>
      </c>
      <c r="I71" s="5">
        <v>43835</v>
      </c>
      <c r="J71" s="11">
        <v>78844</v>
      </c>
      <c r="K71" s="6">
        <v>0</v>
      </c>
      <c r="L71" t="s">
        <v>21</v>
      </c>
      <c r="M71" t="s">
        <v>22</v>
      </c>
      <c r="N71" s="5" t="s">
        <v>31</v>
      </c>
      <c r="O71">
        <f>TBL_Employees[[#This Row],[Bonus %]]*TBL_Employees[[#This Row],[Annual Salary]]</f>
        <v>0</v>
      </c>
      <c r="P71" t="str">
        <f>IF(TBL_Employees[[#This Row],[Age]]&gt;50,"Senior","Junior")</f>
        <v>Junior</v>
      </c>
      <c r="Q71" s="14" t="str">
        <f>IF(OR(D71="IT", J71&gt;100000), "YES", "NO")</f>
        <v>YES</v>
      </c>
      <c r="R71" s="14">
        <f>YEAR(TBL_Employees[[#This Row],[Hire Date]])</f>
        <v>2020</v>
      </c>
    </row>
    <row r="72" spans="1:18" x14ac:dyDescent="0.35">
      <c r="A72" t="s">
        <v>209</v>
      </c>
      <c r="B72" t="s">
        <v>210</v>
      </c>
      <c r="C72" t="s">
        <v>176</v>
      </c>
      <c r="D72" t="s">
        <v>70</v>
      </c>
      <c r="E72" t="s">
        <v>26</v>
      </c>
      <c r="F72" t="s">
        <v>27</v>
      </c>
      <c r="G72" t="s">
        <v>37</v>
      </c>
      <c r="H72">
        <v>58</v>
      </c>
      <c r="I72" s="5">
        <v>37399</v>
      </c>
      <c r="J72" s="11">
        <v>76354</v>
      </c>
      <c r="K72" s="6">
        <v>0</v>
      </c>
      <c r="L72" t="s">
        <v>21</v>
      </c>
      <c r="M72" t="s">
        <v>45</v>
      </c>
      <c r="N72" s="5">
        <v>44465</v>
      </c>
      <c r="O72">
        <f>TBL_Employees[[#This Row],[Bonus %]]*TBL_Employees[[#This Row],[Annual Salary]]</f>
        <v>0</v>
      </c>
      <c r="P72" t="str">
        <f>IF(TBL_Employees[[#This Row],[Age]]&gt;50,"Senior","Junior")</f>
        <v>Senior</v>
      </c>
      <c r="Q72" s="14" t="str">
        <f>IF(OR(D72="IT", J72&gt;100000), "YES", "NO")</f>
        <v>NO</v>
      </c>
      <c r="R72" s="14">
        <f>YEAR(TBL_Employees[[#This Row],[Hire Date]])</f>
        <v>2002</v>
      </c>
    </row>
    <row r="73" spans="1:18" x14ac:dyDescent="0.35">
      <c r="A73" t="s">
        <v>211</v>
      </c>
      <c r="B73" t="s">
        <v>212</v>
      </c>
      <c r="C73" t="s">
        <v>34</v>
      </c>
      <c r="D73" t="s">
        <v>35</v>
      </c>
      <c r="E73" t="s">
        <v>36</v>
      </c>
      <c r="F73" t="s">
        <v>19</v>
      </c>
      <c r="G73" t="s">
        <v>86</v>
      </c>
      <c r="H73">
        <v>37</v>
      </c>
      <c r="I73" s="5">
        <v>43493</v>
      </c>
      <c r="J73" s="11">
        <v>165927</v>
      </c>
      <c r="K73" s="6">
        <v>0.2</v>
      </c>
      <c r="L73" t="s">
        <v>21</v>
      </c>
      <c r="M73" t="s">
        <v>45</v>
      </c>
      <c r="N73" s="5" t="s">
        <v>31</v>
      </c>
      <c r="O73">
        <f>TBL_Employees[[#This Row],[Bonus %]]*TBL_Employees[[#This Row],[Annual Salary]]</f>
        <v>33185.4</v>
      </c>
      <c r="P73" t="str">
        <f>IF(TBL_Employees[[#This Row],[Age]]&gt;50,"Senior","Junior")</f>
        <v>Junior</v>
      </c>
      <c r="Q73" s="14" t="str">
        <f>IF(OR(D73="IT", J73&gt;100000), "YES", "NO")</f>
        <v>YES</v>
      </c>
      <c r="R73" s="14">
        <f>YEAR(TBL_Employees[[#This Row],[Hire Date]])</f>
        <v>2019</v>
      </c>
    </row>
    <row r="74" spans="1:18" x14ac:dyDescent="0.35">
      <c r="A74" t="s">
        <v>213</v>
      </c>
      <c r="B74" t="s">
        <v>214</v>
      </c>
      <c r="C74" t="s">
        <v>53</v>
      </c>
      <c r="D74" t="s">
        <v>60</v>
      </c>
      <c r="E74" t="s">
        <v>36</v>
      </c>
      <c r="F74" t="s">
        <v>19</v>
      </c>
      <c r="G74" t="s">
        <v>86</v>
      </c>
      <c r="H74">
        <v>38</v>
      </c>
      <c r="I74" s="5">
        <v>44516</v>
      </c>
      <c r="J74" s="11">
        <v>109812</v>
      </c>
      <c r="K74" s="6">
        <v>0.09</v>
      </c>
      <c r="L74" t="s">
        <v>94</v>
      </c>
      <c r="M74" t="s">
        <v>95</v>
      </c>
      <c r="N74" s="5" t="s">
        <v>31</v>
      </c>
      <c r="O74">
        <f>TBL_Employees[[#This Row],[Bonus %]]*TBL_Employees[[#This Row],[Annual Salary]]</f>
        <v>9883.08</v>
      </c>
      <c r="P74" t="str">
        <f>IF(TBL_Employees[[#This Row],[Age]]&gt;50,"Senior","Junior")</f>
        <v>Junior</v>
      </c>
      <c r="Q74" s="14" t="str">
        <f>IF(OR(D74="IT", J74&gt;100000), "YES", "NO")</f>
        <v>YES</v>
      </c>
      <c r="R74" s="14">
        <f>YEAR(TBL_Employees[[#This Row],[Hire Date]])</f>
        <v>2021</v>
      </c>
    </row>
    <row r="75" spans="1:18" x14ac:dyDescent="0.35">
      <c r="A75" t="s">
        <v>215</v>
      </c>
      <c r="B75" t="s">
        <v>216</v>
      </c>
      <c r="C75" t="s">
        <v>69</v>
      </c>
      <c r="D75" t="s">
        <v>70</v>
      </c>
      <c r="E75" t="s">
        <v>50</v>
      </c>
      <c r="F75" t="s">
        <v>27</v>
      </c>
      <c r="G75" t="s">
        <v>28</v>
      </c>
      <c r="H75">
        <v>55</v>
      </c>
      <c r="I75" s="5">
        <v>36041</v>
      </c>
      <c r="J75" s="11">
        <v>86299</v>
      </c>
      <c r="K75" s="6">
        <v>0</v>
      </c>
      <c r="L75" t="s">
        <v>21</v>
      </c>
      <c r="M75" t="s">
        <v>22</v>
      </c>
      <c r="N75" s="5" t="s">
        <v>31</v>
      </c>
      <c r="O75">
        <f>TBL_Employees[[#This Row],[Bonus %]]*TBL_Employees[[#This Row],[Annual Salary]]</f>
        <v>0</v>
      </c>
      <c r="P75" t="str">
        <f>IF(TBL_Employees[[#This Row],[Age]]&gt;50,"Senior","Junior")</f>
        <v>Senior</v>
      </c>
      <c r="Q75" s="14" t="str">
        <f>IF(OR(D75="IT", J75&gt;100000), "YES", "NO")</f>
        <v>NO</v>
      </c>
      <c r="R75" s="14">
        <f>YEAR(TBL_Employees[[#This Row],[Hire Date]])</f>
        <v>1998</v>
      </c>
    </row>
    <row r="76" spans="1:18" x14ac:dyDescent="0.35">
      <c r="A76" t="s">
        <v>217</v>
      </c>
      <c r="B76" t="s">
        <v>218</v>
      </c>
      <c r="C76" t="s">
        <v>80</v>
      </c>
      <c r="D76" t="s">
        <v>81</v>
      </c>
      <c r="E76" t="s">
        <v>18</v>
      </c>
      <c r="F76" t="s">
        <v>27</v>
      </c>
      <c r="G76" t="s">
        <v>86</v>
      </c>
      <c r="H76">
        <v>57</v>
      </c>
      <c r="I76" s="5">
        <v>37828</v>
      </c>
      <c r="J76" s="11">
        <v>206624</v>
      </c>
      <c r="K76" s="6">
        <v>0.4</v>
      </c>
      <c r="L76" t="s">
        <v>94</v>
      </c>
      <c r="M76" t="s">
        <v>219</v>
      </c>
      <c r="N76" s="5" t="s">
        <v>31</v>
      </c>
      <c r="O76">
        <f>TBL_Employees[[#This Row],[Bonus %]]*TBL_Employees[[#This Row],[Annual Salary]]</f>
        <v>82649.600000000006</v>
      </c>
      <c r="P76" t="str">
        <f>IF(TBL_Employees[[#This Row],[Age]]&gt;50,"Senior","Junior")</f>
        <v>Senior</v>
      </c>
      <c r="Q76" s="14" t="str">
        <f>IF(OR(D76="IT", J76&gt;100000), "YES", "NO")</f>
        <v>YES</v>
      </c>
      <c r="R76" s="14">
        <f>YEAR(TBL_Employees[[#This Row],[Hire Date]])</f>
        <v>2003</v>
      </c>
    </row>
    <row r="77" spans="1:18" x14ac:dyDescent="0.35">
      <c r="A77" t="s">
        <v>220</v>
      </c>
      <c r="B77" t="s">
        <v>221</v>
      </c>
      <c r="C77" t="s">
        <v>120</v>
      </c>
      <c r="D77" t="s">
        <v>17</v>
      </c>
      <c r="E77" t="s">
        <v>26</v>
      </c>
      <c r="F77" t="s">
        <v>27</v>
      </c>
      <c r="G77" t="s">
        <v>86</v>
      </c>
      <c r="H77">
        <v>36</v>
      </c>
      <c r="I77" s="5">
        <v>40535</v>
      </c>
      <c r="J77" s="11">
        <v>53215</v>
      </c>
      <c r="K77" s="6">
        <v>0</v>
      </c>
      <c r="L77" t="s">
        <v>94</v>
      </c>
      <c r="M77" t="s">
        <v>219</v>
      </c>
      <c r="N77" s="5">
        <v>41725</v>
      </c>
      <c r="O77">
        <f>TBL_Employees[[#This Row],[Bonus %]]*TBL_Employees[[#This Row],[Annual Salary]]</f>
        <v>0</v>
      </c>
      <c r="P77" t="str">
        <f>IF(TBL_Employees[[#This Row],[Age]]&gt;50,"Senior","Junior")</f>
        <v>Junior</v>
      </c>
      <c r="Q77" s="14" t="str">
        <f>IF(OR(D77="IT", J77&gt;100000), "YES", "NO")</f>
        <v>YES</v>
      </c>
      <c r="R77" s="14">
        <f>YEAR(TBL_Employees[[#This Row],[Hire Date]])</f>
        <v>2010</v>
      </c>
    </row>
    <row r="78" spans="1:18" x14ac:dyDescent="0.35">
      <c r="A78" t="s">
        <v>222</v>
      </c>
      <c r="B78" t="s">
        <v>223</v>
      </c>
      <c r="C78" t="s">
        <v>224</v>
      </c>
      <c r="D78" t="s">
        <v>70</v>
      </c>
      <c r="E78" t="s">
        <v>18</v>
      </c>
      <c r="F78" t="s">
        <v>19</v>
      </c>
      <c r="G78" t="s">
        <v>28</v>
      </c>
      <c r="H78">
        <v>30</v>
      </c>
      <c r="I78" s="5">
        <v>42877</v>
      </c>
      <c r="J78" s="11">
        <v>86858</v>
      </c>
      <c r="K78" s="6">
        <v>0</v>
      </c>
      <c r="L78" t="s">
        <v>29</v>
      </c>
      <c r="M78" t="s">
        <v>30</v>
      </c>
      <c r="N78" s="5">
        <v>43016</v>
      </c>
      <c r="O78">
        <f>TBL_Employees[[#This Row],[Bonus %]]*TBL_Employees[[#This Row],[Annual Salary]]</f>
        <v>0</v>
      </c>
      <c r="P78" t="str">
        <f>IF(TBL_Employees[[#This Row],[Age]]&gt;50,"Senior","Junior")</f>
        <v>Junior</v>
      </c>
      <c r="Q78" s="14" t="str">
        <f>IF(OR(D78="IT", J78&gt;100000), "YES", "NO")</f>
        <v>NO</v>
      </c>
      <c r="R78" s="14">
        <f>YEAR(TBL_Employees[[#This Row],[Hire Date]])</f>
        <v>2017</v>
      </c>
    </row>
    <row r="79" spans="1:18" x14ac:dyDescent="0.35">
      <c r="A79" t="s">
        <v>225</v>
      </c>
      <c r="B79" t="s">
        <v>226</v>
      </c>
      <c r="C79" t="s">
        <v>41</v>
      </c>
      <c r="D79" t="s">
        <v>17</v>
      </c>
      <c r="E79" t="s">
        <v>26</v>
      </c>
      <c r="F79" t="s">
        <v>27</v>
      </c>
      <c r="G79" t="s">
        <v>28</v>
      </c>
      <c r="H79">
        <v>40</v>
      </c>
      <c r="I79" s="5">
        <v>39265</v>
      </c>
      <c r="J79" s="11">
        <v>93971</v>
      </c>
      <c r="K79" s="6">
        <v>0.08</v>
      </c>
      <c r="L79" t="s">
        <v>29</v>
      </c>
      <c r="M79" t="s">
        <v>30</v>
      </c>
      <c r="N79" s="5" t="s">
        <v>31</v>
      </c>
      <c r="O79">
        <f>TBL_Employees[[#This Row],[Bonus %]]*TBL_Employees[[#This Row],[Annual Salary]]</f>
        <v>7517.68</v>
      </c>
      <c r="P79" t="str">
        <f>IF(TBL_Employees[[#This Row],[Age]]&gt;50,"Senior","Junior")</f>
        <v>Junior</v>
      </c>
      <c r="Q79" s="14" t="str">
        <f>IF(OR(D79="IT", J79&gt;100000), "YES", "NO")</f>
        <v>YES</v>
      </c>
      <c r="R79" s="14">
        <f>YEAR(TBL_Employees[[#This Row],[Hire Date]])</f>
        <v>2007</v>
      </c>
    </row>
    <row r="80" spans="1:18" x14ac:dyDescent="0.35">
      <c r="A80" t="s">
        <v>227</v>
      </c>
      <c r="B80" t="s">
        <v>228</v>
      </c>
      <c r="C80" t="s">
        <v>125</v>
      </c>
      <c r="D80" t="s">
        <v>35</v>
      </c>
      <c r="E80" t="s">
        <v>50</v>
      </c>
      <c r="F80" t="s">
        <v>27</v>
      </c>
      <c r="G80" t="s">
        <v>86</v>
      </c>
      <c r="H80">
        <v>34</v>
      </c>
      <c r="I80" s="5">
        <v>42182</v>
      </c>
      <c r="J80" s="11">
        <v>57008</v>
      </c>
      <c r="K80" s="6">
        <v>0</v>
      </c>
      <c r="L80" t="s">
        <v>21</v>
      </c>
      <c r="M80" t="s">
        <v>45</v>
      </c>
      <c r="N80" s="5" t="s">
        <v>31</v>
      </c>
      <c r="O80">
        <f>TBL_Employees[[#This Row],[Bonus %]]*TBL_Employees[[#This Row],[Annual Salary]]</f>
        <v>0</v>
      </c>
      <c r="P80" t="str">
        <f>IF(TBL_Employees[[#This Row],[Age]]&gt;50,"Senior","Junior")</f>
        <v>Junior</v>
      </c>
      <c r="Q80" s="14" t="str">
        <f>IF(OR(D80="IT", J80&gt;100000), "YES", "NO")</f>
        <v>NO</v>
      </c>
      <c r="R80" s="14">
        <f>YEAR(TBL_Employees[[#This Row],[Hire Date]])</f>
        <v>2015</v>
      </c>
    </row>
    <row r="81" spans="1:18" x14ac:dyDescent="0.35">
      <c r="A81" t="s">
        <v>229</v>
      </c>
      <c r="B81" t="s">
        <v>230</v>
      </c>
      <c r="C81" t="s">
        <v>16</v>
      </c>
      <c r="D81" t="s">
        <v>35</v>
      </c>
      <c r="E81" t="s">
        <v>26</v>
      </c>
      <c r="F81" t="s">
        <v>27</v>
      </c>
      <c r="G81" t="s">
        <v>86</v>
      </c>
      <c r="H81">
        <v>60</v>
      </c>
      <c r="I81" s="5">
        <v>42270</v>
      </c>
      <c r="J81" s="11">
        <v>141899</v>
      </c>
      <c r="K81" s="6">
        <v>0.15</v>
      </c>
      <c r="L81" t="s">
        <v>21</v>
      </c>
      <c r="M81" t="s">
        <v>45</v>
      </c>
      <c r="N81" s="5" t="s">
        <v>31</v>
      </c>
      <c r="O81">
        <f>TBL_Employees[[#This Row],[Bonus %]]*TBL_Employees[[#This Row],[Annual Salary]]</f>
        <v>21284.85</v>
      </c>
      <c r="P81" t="str">
        <f>IF(TBL_Employees[[#This Row],[Age]]&gt;50,"Senior","Junior")</f>
        <v>Senior</v>
      </c>
      <c r="Q81" s="14" t="str">
        <f>IF(OR(D81="IT", J81&gt;100000), "YES", "NO")</f>
        <v>YES</v>
      </c>
      <c r="R81" s="14">
        <f>YEAR(TBL_Employees[[#This Row],[Hire Date]])</f>
        <v>2015</v>
      </c>
    </row>
    <row r="82" spans="1:18" x14ac:dyDescent="0.35">
      <c r="A82" t="s">
        <v>231</v>
      </c>
      <c r="B82" t="s">
        <v>232</v>
      </c>
      <c r="C82" t="s">
        <v>125</v>
      </c>
      <c r="D82" t="s">
        <v>81</v>
      </c>
      <c r="E82" t="s">
        <v>50</v>
      </c>
      <c r="F82" t="s">
        <v>27</v>
      </c>
      <c r="G82" t="s">
        <v>20</v>
      </c>
      <c r="H82">
        <v>41</v>
      </c>
      <c r="I82" s="5">
        <v>42626</v>
      </c>
      <c r="J82" s="11">
        <v>64847</v>
      </c>
      <c r="K82" s="6">
        <v>0</v>
      </c>
      <c r="L82" t="s">
        <v>21</v>
      </c>
      <c r="M82" t="s">
        <v>57</v>
      </c>
      <c r="N82" s="5" t="s">
        <v>31</v>
      </c>
      <c r="O82">
        <f>TBL_Employees[[#This Row],[Bonus %]]*TBL_Employees[[#This Row],[Annual Salary]]</f>
        <v>0</v>
      </c>
      <c r="P82" t="str">
        <f>IF(TBL_Employees[[#This Row],[Age]]&gt;50,"Senior","Junior")</f>
        <v>Junior</v>
      </c>
      <c r="Q82" s="14" t="str">
        <f>IF(OR(D82="IT", J82&gt;100000), "YES", "NO")</f>
        <v>NO</v>
      </c>
      <c r="R82" s="14">
        <f>YEAR(TBL_Employees[[#This Row],[Hire Date]])</f>
        <v>2016</v>
      </c>
    </row>
    <row r="83" spans="1:18" x14ac:dyDescent="0.35">
      <c r="A83" t="s">
        <v>233</v>
      </c>
      <c r="B83" t="s">
        <v>234</v>
      </c>
      <c r="C83" t="s">
        <v>114</v>
      </c>
      <c r="D83" t="s">
        <v>70</v>
      </c>
      <c r="E83" t="s">
        <v>18</v>
      </c>
      <c r="F83" t="s">
        <v>27</v>
      </c>
      <c r="G83" t="s">
        <v>37</v>
      </c>
      <c r="H83">
        <v>53</v>
      </c>
      <c r="I83" s="5">
        <v>33702</v>
      </c>
      <c r="J83" s="11">
        <v>116878</v>
      </c>
      <c r="K83" s="6">
        <v>0.11</v>
      </c>
      <c r="L83" t="s">
        <v>21</v>
      </c>
      <c r="M83" t="s">
        <v>57</v>
      </c>
      <c r="N83" s="5" t="s">
        <v>31</v>
      </c>
      <c r="O83">
        <f>TBL_Employees[[#This Row],[Bonus %]]*TBL_Employees[[#This Row],[Annual Salary]]</f>
        <v>12856.58</v>
      </c>
      <c r="P83" t="str">
        <f>IF(TBL_Employees[[#This Row],[Age]]&gt;50,"Senior","Junior")</f>
        <v>Senior</v>
      </c>
      <c r="Q83" s="14" t="str">
        <f>IF(OR(D83="IT", J83&gt;100000), "YES", "NO")</f>
        <v>YES</v>
      </c>
      <c r="R83" s="14">
        <f>YEAR(TBL_Employees[[#This Row],[Hire Date]])</f>
        <v>1992</v>
      </c>
    </row>
    <row r="84" spans="1:18" x14ac:dyDescent="0.35">
      <c r="A84" t="s">
        <v>235</v>
      </c>
      <c r="B84" t="s">
        <v>236</v>
      </c>
      <c r="C84" t="s">
        <v>109</v>
      </c>
      <c r="D84" t="s">
        <v>70</v>
      </c>
      <c r="E84" t="s">
        <v>36</v>
      </c>
      <c r="F84" t="s">
        <v>27</v>
      </c>
      <c r="G84" t="s">
        <v>20</v>
      </c>
      <c r="H84">
        <v>45</v>
      </c>
      <c r="I84" s="5">
        <v>38388</v>
      </c>
      <c r="J84" s="11">
        <v>70505</v>
      </c>
      <c r="K84" s="6">
        <v>0</v>
      </c>
      <c r="L84" t="s">
        <v>21</v>
      </c>
      <c r="M84" t="s">
        <v>61</v>
      </c>
      <c r="N84" s="5" t="s">
        <v>31</v>
      </c>
      <c r="O84">
        <f>TBL_Employees[[#This Row],[Bonus %]]*TBL_Employees[[#This Row],[Annual Salary]]</f>
        <v>0</v>
      </c>
      <c r="P84" t="str">
        <f>IF(TBL_Employees[[#This Row],[Age]]&gt;50,"Senior","Junior")</f>
        <v>Junior</v>
      </c>
      <c r="Q84" s="14" t="str">
        <f>IF(OR(D84="IT", J84&gt;100000), "YES", "NO")</f>
        <v>NO</v>
      </c>
      <c r="R84" s="14">
        <f>YEAR(TBL_Employees[[#This Row],[Hire Date]])</f>
        <v>2005</v>
      </c>
    </row>
    <row r="85" spans="1:18" x14ac:dyDescent="0.35">
      <c r="A85" t="s">
        <v>237</v>
      </c>
      <c r="B85" t="s">
        <v>238</v>
      </c>
      <c r="C85" t="s">
        <v>34</v>
      </c>
      <c r="D85" t="s">
        <v>70</v>
      </c>
      <c r="E85" t="s">
        <v>18</v>
      </c>
      <c r="F85" t="s">
        <v>19</v>
      </c>
      <c r="G85" t="s">
        <v>86</v>
      </c>
      <c r="H85">
        <v>30</v>
      </c>
      <c r="I85" s="5">
        <v>42512</v>
      </c>
      <c r="J85" s="11">
        <v>189702</v>
      </c>
      <c r="K85" s="6">
        <v>0.28000000000000003</v>
      </c>
      <c r="L85" t="s">
        <v>94</v>
      </c>
      <c r="M85" t="s">
        <v>95</v>
      </c>
      <c r="N85" s="5">
        <v>44186</v>
      </c>
      <c r="O85">
        <f>TBL_Employees[[#This Row],[Bonus %]]*TBL_Employees[[#This Row],[Annual Salary]]</f>
        <v>53116.560000000005</v>
      </c>
      <c r="P85" t="str">
        <f>IF(TBL_Employees[[#This Row],[Age]]&gt;50,"Senior","Junior")</f>
        <v>Junior</v>
      </c>
      <c r="Q85" s="14" t="str">
        <f>IF(OR(D85="IT", J85&gt;100000), "YES", "NO")</f>
        <v>YES</v>
      </c>
      <c r="R85" s="14">
        <f>YEAR(TBL_Employees[[#This Row],[Hire Date]])</f>
        <v>2016</v>
      </c>
    </row>
    <row r="86" spans="1:18" x14ac:dyDescent="0.35">
      <c r="A86" t="s">
        <v>239</v>
      </c>
      <c r="B86" t="s">
        <v>240</v>
      </c>
      <c r="C86" t="s">
        <v>34</v>
      </c>
      <c r="D86" t="s">
        <v>60</v>
      </c>
      <c r="E86" t="s">
        <v>36</v>
      </c>
      <c r="F86" t="s">
        <v>27</v>
      </c>
      <c r="G86" t="s">
        <v>37</v>
      </c>
      <c r="H86">
        <v>26</v>
      </c>
      <c r="I86" s="5">
        <v>44040</v>
      </c>
      <c r="J86" s="11">
        <v>180664</v>
      </c>
      <c r="K86" s="6">
        <v>0.27</v>
      </c>
      <c r="L86" t="s">
        <v>21</v>
      </c>
      <c r="M86" t="s">
        <v>38</v>
      </c>
      <c r="N86" s="5" t="s">
        <v>31</v>
      </c>
      <c r="O86">
        <f>TBL_Employees[[#This Row],[Bonus %]]*TBL_Employees[[#This Row],[Annual Salary]]</f>
        <v>48779.280000000006</v>
      </c>
      <c r="P86" t="str">
        <f>IF(TBL_Employees[[#This Row],[Age]]&gt;50,"Senior","Junior")</f>
        <v>Junior</v>
      </c>
      <c r="Q86" s="14" t="str">
        <f>IF(OR(D86="IT", J86&gt;100000), "YES", "NO")</f>
        <v>YES</v>
      </c>
      <c r="R86" s="14">
        <f>YEAR(TBL_Employees[[#This Row],[Hire Date]])</f>
        <v>2020</v>
      </c>
    </row>
    <row r="87" spans="1:18" x14ac:dyDescent="0.35">
      <c r="A87" t="s">
        <v>241</v>
      </c>
      <c r="B87" t="s">
        <v>242</v>
      </c>
      <c r="C87" t="s">
        <v>185</v>
      </c>
      <c r="D87" t="s">
        <v>66</v>
      </c>
      <c r="E87" t="s">
        <v>26</v>
      </c>
      <c r="F87" t="s">
        <v>19</v>
      </c>
      <c r="G87" t="s">
        <v>28</v>
      </c>
      <c r="H87">
        <v>45</v>
      </c>
      <c r="I87" s="5">
        <v>37972</v>
      </c>
      <c r="J87" s="11">
        <v>48345</v>
      </c>
      <c r="K87" s="6">
        <v>0</v>
      </c>
      <c r="L87" t="s">
        <v>29</v>
      </c>
      <c r="M87" t="s">
        <v>135</v>
      </c>
      <c r="N87" s="5" t="s">
        <v>31</v>
      </c>
      <c r="O87">
        <f>TBL_Employees[[#This Row],[Bonus %]]*TBL_Employees[[#This Row],[Annual Salary]]</f>
        <v>0</v>
      </c>
      <c r="P87" t="str">
        <f>IF(TBL_Employees[[#This Row],[Age]]&gt;50,"Senior","Junior")</f>
        <v>Junior</v>
      </c>
      <c r="Q87" s="14" t="str">
        <f>IF(OR(D87="IT", J87&gt;100000), "YES", "NO")</f>
        <v>NO</v>
      </c>
      <c r="R87" s="14">
        <f>YEAR(TBL_Employees[[#This Row],[Hire Date]])</f>
        <v>2003</v>
      </c>
    </row>
    <row r="88" spans="1:18" x14ac:dyDescent="0.35">
      <c r="A88" t="s">
        <v>243</v>
      </c>
      <c r="B88" t="s">
        <v>244</v>
      </c>
      <c r="C88" t="s">
        <v>34</v>
      </c>
      <c r="D88" t="s">
        <v>66</v>
      </c>
      <c r="E88" t="s">
        <v>26</v>
      </c>
      <c r="F88" t="s">
        <v>27</v>
      </c>
      <c r="G88" t="s">
        <v>28</v>
      </c>
      <c r="H88">
        <v>42</v>
      </c>
      <c r="I88" s="5">
        <v>41655</v>
      </c>
      <c r="J88" s="11">
        <v>152214</v>
      </c>
      <c r="K88" s="6">
        <v>0.3</v>
      </c>
      <c r="L88" t="s">
        <v>29</v>
      </c>
      <c r="M88" t="s">
        <v>115</v>
      </c>
      <c r="N88" s="5" t="s">
        <v>31</v>
      </c>
      <c r="O88">
        <f>TBL_Employees[[#This Row],[Bonus %]]*TBL_Employees[[#This Row],[Annual Salary]]</f>
        <v>45664.2</v>
      </c>
      <c r="P88" t="str">
        <f>IF(TBL_Employees[[#This Row],[Age]]&gt;50,"Senior","Junior")</f>
        <v>Junior</v>
      </c>
      <c r="Q88" s="14" t="str">
        <f>IF(OR(D88="IT", J88&gt;100000), "YES", "NO")</f>
        <v>YES</v>
      </c>
      <c r="R88" s="14">
        <f>YEAR(TBL_Employees[[#This Row],[Hire Date]])</f>
        <v>2014</v>
      </c>
    </row>
    <row r="89" spans="1:18" x14ac:dyDescent="0.35">
      <c r="A89" t="s">
        <v>245</v>
      </c>
      <c r="B89" t="s">
        <v>246</v>
      </c>
      <c r="C89" t="s">
        <v>208</v>
      </c>
      <c r="D89" t="s">
        <v>17</v>
      </c>
      <c r="E89" t="s">
        <v>50</v>
      </c>
      <c r="F89" t="s">
        <v>19</v>
      </c>
      <c r="G89" t="s">
        <v>86</v>
      </c>
      <c r="H89">
        <v>41</v>
      </c>
      <c r="I89" s="5">
        <v>39931</v>
      </c>
      <c r="J89" s="11">
        <v>69803</v>
      </c>
      <c r="K89" s="6">
        <v>0</v>
      </c>
      <c r="L89" t="s">
        <v>94</v>
      </c>
      <c r="M89" t="s">
        <v>95</v>
      </c>
      <c r="N89" s="5" t="s">
        <v>31</v>
      </c>
      <c r="O89">
        <f>TBL_Employees[[#This Row],[Bonus %]]*TBL_Employees[[#This Row],[Annual Salary]]</f>
        <v>0</v>
      </c>
      <c r="P89" t="str">
        <f>IF(TBL_Employees[[#This Row],[Age]]&gt;50,"Senior","Junior")</f>
        <v>Junior</v>
      </c>
      <c r="Q89" s="14" t="str">
        <f>IF(OR(D89="IT", J89&gt;100000), "YES", "NO")</f>
        <v>YES</v>
      </c>
      <c r="R89" s="14">
        <f>YEAR(TBL_Employees[[#This Row],[Hire Date]])</f>
        <v>2009</v>
      </c>
    </row>
    <row r="90" spans="1:18" x14ac:dyDescent="0.35">
      <c r="A90" t="s">
        <v>247</v>
      </c>
      <c r="B90" t="s">
        <v>248</v>
      </c>
      <c r="C90" t="s">
        <v>249</v>
      </c>
      <c r="D90" t="s">
        <v>17</v>
      </c>
      <c r="E90" t="s">
        <v>50</v>
      </c>
      <c r="F90" t="s">
        <v>19</v>
      </c>
      <c r="G90" t="s">
        <v>86</v>
      </c>
      <c r="H90">
        <v>48</v>
      </c>
      <c r="I90" s="5">
        <v>43650</v>
      </c>
      <c r="J90" s="11">
        <v>76588</v>
      </c>
      <c r="K90" s="6">
        <v>0</v>
      </c>
      <c r="L90" t="s">
        <v>94</v>
      </c>
      <c r="M90" t="s">
        <v>100</v>
      </c>
      <c r="N90" s="5" t="s">
        <v>31</v>
      </c>
      <c r="O90">
        <f>TBL_Employees[[#This Row],[Bonus %]]*TBL_Employees[[#This Row],[Annual Salary]]</f>
        <v>0</v>
      </c>
      <c r="P90" t="str">
        <f>IF(TBL_Employees[[#This Row],[Age]]&gt;50,"Senior","Junior")</f>
        <v>Junior</v>
      </c>
      <c r="Q90" s="14" t="str">
        <f>IF(OR(D90="IT", J90&gt;100000), "YES", "NO")</f>
        <v>YES</v>
      </c>
      <c r="R90" s="14">
        <f>YEAR(TBL_Employees[[#This Row],[Hire Date]])</f>
        <v>2019</v>
      </c>
    </row>
    <row r="91" spans="1:18" x14ac:dyDescent="0.35">
      <c r="A91" t="s">
        <v>250</v>
      </c>
      <c r="B91" t="s">
        <v>251</v>
      </c>
      <c r="C91" t="s">
        <v>252</v>
      </c>
      <c r="D91" t="s">
        <v>17</v>
      </c>
      <c r="E91" t="s">
        <v>26</v>
      </c>
      <c r="F91" t="s">
        <v>27</v>
      </c>
      <c r="G91" t="s">
        <v>37</v>
      </c>
      <c r="H91">
        <v>29</v>
      </c>
      <c r="I91" s="5">
        <v>43444</v>
      </c>
      <c r="J91" s="11">
        <v>84596</v>
      </c>
      <c r="K91" s="6">
        <v>0</v>
      </c>
      <c r="L91" t="s">
        <v>21</v>
      </c>
      <c r="M91" t="s">
        <v>57</v>
      </c>
      <c r="N91" s="5" t="s">
        <v>31</v>
      </c>
      <c r="O91">
        <f>TBL_Employees[[#This Row],[Bonus %]]*TBL_Employees[[#This Row],[Annual Salary]]</f>
        <v>0</v>
      </c>
      <c r="P91" t="str">
        <f>IF(TBL_Employees[[#This Row],[Age]]&gt;50,"Senior","Junior")</f>
        <v>Junior</v>
      </c>
      <c r="Q91" s="14" t="str">
        <f>IF(OR(D91="IT", J91&gt;100000), "YES", "NO")</f>
        <v>YES</v>
      </c>
      <c r="R91" s="14">
        <f>YEAR(TBL_Employees[[#This Row],[Hire Date]])</f>
        <v>2018</v>
      </c>
    </row>
    <row r="92" spans="1:18" x14ac:dyDescent="0.35">
      <c r="A92" t="s">
        <v>253</v>
      </c>
      <c r="B92" t="s">
        <v>254</v>
      </c>
      <c r="C92" t="s">
        <v>53</v>
      </c>
      <c r="D92" t="s">
        <v>81</v>
      </c>
      <c r="E92" t="s">
        <v>18</v>
      </c>
      <c r="F92" t="s">
        <v>27</v>
      </c>
      <c r="G92" t="s">
        <v>28</v>
      </c>
      <c r="H92">
        <v>27</v>
      </c>
      <c r="I92" s="5">
        <v>43368</v>
      </c>
      <c r="J92" s="11">
        <v>114441</v>
      </c>
      <c r="K92" s="6">
        <v>0.1</v>
      </c>
      <c r="L92" t="s">
        <v>29</v>
      </c>
      <c r="M92" t="s">
        <v>30</v>
      </c>
      <c r="N92" s="5">
        <v>43821</v>
      </c>
      <c r="O92">
        <f>TBL_Employees[[#This Row],[Bonus %]]*TBL_Employees[[#This Row],[Annual Salary]]</f>
        <v>11444.1</v>
      </c>
      <c r="P92" t="str">
        <f>IF(TBL_Employees[[#This Row],[Age]]&gt;50,"Senior","Junior")</f>
        <v>Junior</v>
      </c>
      <c r="Q92" s="14" t="str">
        <f>IF(OR(D92="IT", J92&gt;100000), "YES", "NO")</f>
        <v>YES</v>
      </c>
      <c r="R92" s="14">
        <f>YEAR(TBL_Employees[[#This Row],[Hire Date]])</f>
        <v>2018</v>
      </c>
    </row>
    <row r="93" spans="1:18" x14ac:dyDescent="0.35">
      <c r="A93" t="s">
        <v>255</v>
      </c>
      <c r="B93" t="s">
        <v>256</v>
      </c>
      <c r="C93" t="s">
        <v>16</v>
      </c>
      <c r="D93" t="s">
        <v>35</v>
      </c>
      <c r="E93" t="s">
        <v>36</v>
      </c>
      <c r="F93" t="s">
        <v>19</v>
      </c>
      <c r="G93" t="s">
        <v>28</v>
      </c>
      <c r="H93">
        <v>33</v>
      </c>
      <c r="I93" s="5">
        <v>43211</v>
      </c>
      <c r="J93" s="11">
        <v>140402</v>
      </c>
      <c r="K93" s="6">
        <v>0.15</v>
      </c>
      <c r="L93" t="s">
        <v>29</v>
      </c>
      <c r="M93" t="s">
        <v>115</v>
      </c>
      <c r="N93" s="5" t="s">
        <v>31</v>
      </c>
      <c r="O93">
        <f>TBL_Employees[[#This Row],[Bonus %]]*TBL_Employees[[#This Row],[Annual Salary]]</f>
        <v>21060.3</v>
      </c>
      <c r="P93" t="str">
        <f>IF(TBL_Employees[[#This Row],[Age]]&gt;50,"Senior","Junior")</f>
        <v>Junior</v>
      </c>
      <c r="Q93" s="14" t="str">
        <f>IF(OR(D93="IT", J93&gt;100000), "YES", "NO")</f>
        <v>YES</v>
      </c>
      <c r="R93" s="14">
        <f>YEAR(TBL_Employees[[#This Row],[Hire Date]])</f>
        <v>2018</v>
      </c>
    </row>
    <row r="94" spans="1:18" x14ac:dyDescent="0.35">
      <c r="A94" t="s">
        <v>257</v>
      </c>
      <c r="B94" t="s">
        <v>258</v>
      </c>
      <c r="C94" t="s">
        <v>125</v>
      </c>
      <c r="D94" t="s">
        <v>35</v>
      </c>
      <c r="E94" t="s">
        <v>50</v>
      </c>
      <c r="F94" t="s">
        <v>19</v>
      </c>
      <c r="G94" t="s">
        <v>86</v>
      </c>
      <c r="H94">
        <v>26</v>
      </c>
      <c r="I94" s="5">
        <v>43578</v>
      </c>
      <c r="J94" s="11">
        <v>59817</v>
      </c>
      <c r="K94" s="6">
        <v>0</v>
      </c>
      <c r="L94" t="s">
        <v>94</v>
      </c>
      <c r="M94" t="s">
        <v>219</v>
      </c>
      <c r="N94" s="5" t="s">
        <v>31</v>
      </c>
      <c r="O94">
        <f>TBL_Employees[[#This Row],[Bonus %]]*TBL_Employees[[#This Row],[Annual Salary]]</f>
        <v>0</v>
      </c>
      <c r="P94" t="str">
        <f>IF(TBL_Employees[[#This Row],[Age]]&gt;50,"Senior","Junior")</f>
        <v>Junior</v>
      </c>
      <c r="Q94" s="14" t="str">
        <f>IF(OR(D94="IT", J94&gt;100000), "YES", "NO")</f>
        <v>NO</v>
      </c>
      <c r="R94" s="14">
        <f>YEAR(TBL_Employees[[#This Row],[Hire Date]])</f>
        <v>2019</v>
      </c>
    </row>
    <row r="95" spans="1:18" x14ac:dyDescent="0.35">
      <c r="A95" t="s">
        <v>259</v>
      </c>
      <c r="B95" t="s">
        <v>260</v>
      </c>
      <c r="C95" t="s">
        <v>48</v>
      </c>
      <c r="D95" t="s">
        <v>49</v>
      </c>
      <c r="E95" t="s">
        <v>26</v>
      </c>
      <c r="F95" t="s">
        <v>27</v>
      </c>
      <c r="G95" t="s">
        <v>28</v>
      </c>
      <c r="H95">
        <v>31</v>
      </c>
      <c r="I95" s="5">
        <v>42938</v>
      </c>
      <c r="J95" s="11">
        <v>55854</v>
      </c>
      <c r="K95" s="6">
        <v>0</v>
      </c>
      <c r="L95" t="s">
        <v>21</v>
      </c>
      <c r="M95" t="s">
        <v>61</v>
      </c>
      <c r="N95" s="5" t="s">
        <v>31</v>
      </c>
      <c r="O95">
        <f>TBL_Employees[[#This Row],[Bonus %]]*TBL_Employees[[#This Row],[Annual Salary]]</f>
        <v>0</v>
      </c>
      <c r="P95" t="str">
        <f>IF(TBL_Employees[[#This Row],[Age]]&gt;50,"Senior","Junior")</f>
        <v>Junior</v>
      </c>
      <c r="Q95" s="14" t="str">
        <f>IF(OR(D95="IT", J95&gt;100000), "YES", "NO")</f>
        <v>NO</v>
      </c>
      <c r="R95" s="14">
        <f>YEAR(TBL_Employees[[#This Row],[Hire Date]])</f>
        <v>2017</v>
      </c>
    </row>
    <row r="96" spans="1:18" x14ac:dyDescent="0.35">
      <c r="A96" t="s">
        <v>261</v>
      </c>
      <c r="B96" t="s">
        <v>262</v>
      </c>
      <c r="C96" t="s">
        <v>144</v>
      </c>
      <c r="D96" t="s">
        <v>66</v>
      </c>
      <c r="E96" t="s">
        <v>18</v>
      </c>
      <c r="F96" t="s">
        <v>27</v>
      </c>
      <c r="G96" t="s">
        <v>28</v>
      </c>
      <c r="H96">
        <v>53</v>
      </c>
      <c r="I96" s="5">
        <v>37576</v>
      </c>
      <c r="J96" s="11">
        <v>95998</v>
      </c>
      <c r="K96" s="6">
        <v>0</v>
      </c>
      <c r="L96" t="s">
        <v>21</v>
      </c>
      <c r="M96" t="s">
        <v>22</v>
      </c>
      <c r="N96" s="5" t="s">
        <v>31</v>
      </c>
      <c r="O96">
        <f>TBL_Employees[[#This Row],[Bonus %]]*TBL_Employees[[#This Row],[Annual Salary]]</f>
        <v>0</v>
      </c>
      <c r="P96" t="str">
        <f>IF(TBL_Employees[[#This Row],[Age]]&gt;50,"Senior","Junior")</f>
        <v>Senior</v>
      </c>
      <c r="Q96" s="14" t="str">
        <f>IF(OR(D96="IT", J96&gt;100000), "YES", "NO")</f>
        <v>NO</v>
      </c>
      <c r="R96" s="14">
        <f>YEAR(TBL_Employees[[#This Row],[Hire Date]])</f>
        <v>2002</v>
      </c>
    </row>
    <row r="97" spans="1:18" x14ac:dyDescent="0.35">
      <c r="A97" t="s">
        <v>263</v>
      </c>
      <c r="B97" t="s">
        <v>264</v>
      </c>
      <c r="C97" t="s">
        <v>16</v>
      </c>
      <c r="D97" t="s">
        <v>49</v>
      </c>
      <c r="E97" t="s">
        <v>26</v>
      </c>
      <c r="F97" t="s">
        <v>19</v>
      </c>
      <c r="G97" t="s">
        <v>28</v>
      </c>
      <c r="H97">
        <v>34</v>
      </c>
      <c r="I97" s="5">
        <v>42116</v>
      </c>
      <c r="J97" s="11">
        <v>154941</v>
      </c>
      <c r="K97" s="6">
        <v>0.13</v>
      </c>
      <c r="L97" t="s">
        <v>21</v>
      </c>
      <c r="M97" t="s">
        <v>45</v>
      </c>
      <c r="N97" s="5" t="s">
        <v>31</v>
      </c>
      <c r="O97">
        <f>TBL_Employees[[#This Row],[Bonus %]]*TBL_Employees[[#This Row],[Annual Salary]]</f>
        <v>20142.330000000002</v>
      </c>
      <c r="P97" t="str">
        <f>IF(TBL_Employees[[#This Row],[Age]]&gt;50,"Senior","Junior")</f>
        <v>Junior</v>
      </c>
      <c r="Q97" s="14" t="str">
        <f>IF(OR(D97="IT", J97&gt;100000), "YES", "NO")</f>
        <v>YES</v>
      </c>
      <c r="R97" s="14">
        <f>YEAR(TBL_Employees[[#This Row],[Hire Date]])</f>
        <v>2015</v>
      </c>
    </row>
    <row r="98" spans="1:18" x14ac:dyDescent="0.35">
      <c r="A98" t="s">
        <v>265</v>
      </c>
      <c r="B98" t="s">
        <v>173</v>
      </c>
      <c r="C98" t="s">
        <v>80</v>
      </c>
      <c r="D98" t="s">
        <v>35</v>
      </c>
      <c r="E98" t="s">
        <v>36</v>
      </c>
      <c r="F98" t="s">
        <v>19</v>
      </c>
      <c r="G98" t="s">
        <v>28</v>
      </c>
      <c r="H98">
        <v>54</v>
      </c>
      <c r="I98" s="5">
        <v>40734</v>
      </c>
      <c r="J98" s="11">
        <v>247022</v>
      </c>
      <c r="K98" s="6">
        <v>0.3</v>
      </c>
      <c r="L98" t="s">
        <v>29</v>
      </c>
      <c r="M98" t="s">
        <v>115</v>
      </c>
      <c r="N98" s="5" t="s">
        <v>31</v>
      </c>
      <c r="O98">
        <f>TBL_Employees[[#This Row],[Bonus %]]*TBL_Employees[[#This Row],[Annual Salary]]</f>
        <v>74106.599999999991</v>
      </c>
      <c r="P98" t="str">
        <f>IF(TBL_Employees[[#This Row],[Age]]&gt;50,"Senior","Junior")</f>
        <v>Senior</v>
      </c>
      <c r="Q98" s="14" t="str">
        <f>IF(OR(D98="IT", J98&gt;100000), "YES", "NO")</f>
        <v>YES</v>
      </c>
      <c r="R98" s="14">
        <f>YEAR(TBL_Employees[[#This Row],[Hire Date]])</f>
        <v>2011</v>
      </c>
    </row>
    <row r="99" spans="1:18" x14ac:dyDescent="0.35">
      <c r="A99" t="s">
        <v>266</v>
      </c>
      <c r="B99" t="s">
        <v>267</v>
      </c>
      <c r="C99" t="s">
        <v>249</v>
      </c>
      <c r="D99" t="s">
        <v>17</v>
      </c>
      <c r="E99" t="s">
        <v>26</v>
      </c>
      <c r="F99" t="s">
        <v>19</v>
      </c>
      <c r="G99" t="s">
        <v>86</v>
      </c>
      <c r="H99">
        <v>32</v>
      </c>
      <c r="I99" s="5">
        <v>44474</v>
      </c>
      <c r="J99" s="11">
        <v>88072</v>
      </c>
      <c r="K99" s="6">
        <v>0</v>
      </c>
      <c r="L99" t="s">
        <v>94</v>
      </c>
      <c r="M99" t="s">
        <v>219</v>
      </c>
      <c r="N99" s="5" t="s">
        <v>31</v>
      </c>
      <c r="O99">
        <f>TBL_Employees[[#This Row],[Bonus %]]*TBL_Employees[[#This Row],[Annual Salary]]</f>
        <v>0</v>
      </c>
      <c r="P99" t="str">
        <f>IF(TBL_Employees[[#This Row],[Age]]&gt;50,"Senior","Junior")</f>
        <v>Junior</v>
      </c>
      <c r="Q99" s="14" t="str">
        <f>IF(OR(D99="IT", J99&gt;100000), "YES", "NO")</f>
        <v>YES</v>
      </c>
      <c r="R99" s="14">
        <f>YEAR(TBL_Employees[[#This Row],[Hire Date]])</f>
        <v>2021</v>
      </c>
    </row>
    <row r="100" spans="1:18" x14ac:dyDescent="0.35">
      <c r="A100" t="s">
        <v>268</v>
      </c>
      <c r="B100" t="s">
        <v>269</v>
      </c>
      <c r="C100" t="s">
        <v>41</v>
      </c>
      <c r="D100" t="s">
        <v>17</v>
      </c>
      <c r="E100" t="s">
        <v>18</v>
      </c>
      <c r="F100" t="s">
        <v>27</v>
      </c>
      <c r="G100" t="s">
        <v>28</v>
      </c>
      <c r="H100">
        <v>28</v>
      </c>
      <c r="I100" s="5">
        <v>43977</v>
      </c>
      <c r="J100" s="11">
        <v>67925</v>
      </c>
      <c r="K100" s="6">
        <v>0.08</v>
      </c>
      <c r="L100" t="s">
        <v>29</v>
      </c>
      <c r="M100" t="s">
        <v>75</v>
      </c>
      <c r="N100" s="5" t="s">
        <v>31</v>
      </c>
      <c r="O100">
        <f>TBL_Employees[[#This Row],[Bonus %]]*TBL_Employees[[#This Row],[Annual Salary]]</f>
        <v>5434</v>
      </c>
      <c r="P100" t="str">
        <f>IF(TBL_Employees[[#This Row],[Age]]&gt;50,"Senior","Junior")</f>
        <v>Junior</v>
      </c>
      <c r="Q100" s="14" t="str">
        <f>IF(OR(D100="IT", J100&gt;100000), "YES", "NO")</f>
        <v>YES</v>
      </c>
      <c r="R100" s="14">
        <f>YEAR(TBL_Employees[[#This Row],[Hire Date]])</f>
        <v>2020</v>
      </c>
    </row>
    <row r="101" spans="1:18" x14ac:dyDescent="0.35">
      <c r="A101" t="s">
        <v>270</v>
      </c>
      <c r="B101" t="s">
        <v>271</v>
      </c>
      <c r="C101" t="s">
        <v>80</v>
      </c>
      <c r="D101" t="s">
        <v>49</v>
      </c>
      <c r="E101" t="s">
        <v>26</v>
      </c>
      <c r="F101" t="s">
        <v>19</v>
      </c>
      <c r="G101" t="s">
        <v>37</v>
      </c>
      <c r="H101">
        <v>31</v>
      </c>
      <c r="I101" s="5">
        <v>44063</v>
      </c>
      <c r="J101" s="11">
        <v>219693</v>
      </c>
      <c r="K101" s="6">
        <v>0.3</v>
      </c>
      <c r="L101" t="s">
        <v>21</v>
      </c>
      <c r="M101" t="s">
        <v>61</v>
      </c>
      <c r="N101" s="5" t="s">
        <v>31</v>
      </c>
      <c r="O101">
        <f>TBL_Employees[[#This Row],[Bonus %]]*TBL_Employees[[#This Row],[Annual Salary]]</f>
        <v>65907.899999999994</v>
      </c>
      <c r="P101" t="str">
        <f>IF(TBL_Employees[[#This Row],[Age]]&gt;50,"Senior","Junior")</f>
        <v>Junior</v>
      </c>
      <c r="Q101" s="14" t="str">
        <f>IF(OR(D101="IT", J101&gt;100000), "YES", "NO")</f>
        <v>YES</v>
      </c>
      <c r="R101" s="14">
        <f>YEAR(TBL_Employees[[#This Row],[Hire Date]])</f>
        <v>2020</v>
      </c>
    </row>
    <row r="102" spans="1:18" x14ac:dyDescent="0.35">
      <c r="A102" t="s">
        <v>272</v>
      </c>
      <c r="B102" t="s">
        <v>273</v>
      </c>
      <c r="C102" t="s">
        <v>224</v>
      </c>
      <c r="D102" t="s">
        <v>70</v>
      </c>
      <c r="E102" t="s">
        <v>18</v>
      </c>
      <c r="F102" t="s">
        <v>19</v>
      </c>
      <c r="G102" t="s">
        <v>37</v>
      </c>
      <c r="H102">
        <v>45</v>
      </c>
      <c r="I102" s="5">
        <v>41386</v>
      </c>
      <c r="J102" s="11">
        <v>61773</v>
      </c>
      <c r="K102" s="6">
        <v>0</v>
      </c>
      <c r="L102" t="s">
        <v>21</v>
      </c>
      <c r="M102" t="s">
        <v>22</v>
      </c>
      <c r="N102" s="5" t="s">
        <v>31</v>
      </c>
      <c r="O102">
        <f>TBL_Employees[[#This Row],[Bonus %]]*TBL_Employees[[#This Row],[Annual Salary]]</f>
        <v>0</v>
      </c>
      <c r="P102" t="str">
        <f>IF(TBL_Employees[[#This Row],[Age]]&gt;50,"Senior","Junior")</f>
        <v>Junior</v>
      </c>
      <c r="Q102" s="14" t="str">
        <f>IF(OR(D102="IT", J102&gt;100000), "YES", "NO")</f>
        <v>NO</v>
      </c>
      <c r="R102" s="14">
        <f>YEAR(TBL_Employees[[#This Row],[Hire Date]])</f>
        <v>2013</v>
      </c>
    </row>
    <row r="103" spans="1:18" x14ac:dyDescent="0.35">
      <c r="A103" t="s">
        <v>274</v>
      </c>
      <c r="B103" t="s">
        <v>275</v>
      </c>
      <c r="C103" t="s">
        <v>41</v>
      </c>
      <c r="D103" t="s">
        <v>17</v>
      </c>
      <c r="E103" t="s">
        <v>36</v>
      </c>
      <c r="F103" t="s">
        <v>19</v>
      </c>
      <c r="G103" t="s">
        <v>28</v>
      </c>
      <c r="H103">
        <v>48</v>
      </c>
      <c r="I103" s="5">
        <v>39091</v>
      </c>
      <c r="J103" s="11">
        <v>74546</v>
      </c>
      <c r="K103" s="6">
        <v>0.09</v>
      </c>
      <c r="L103" t="s">
        <v>21</v>
      </c>
      <c r="M103" t="s">
        <v>22</v>
      </c>
      <c r="N103" s="5" t="s">
        <v>31</v>
      </c>
      <c r="O103">
        <f>TBL_Employees[[#This Row],[Bonus %]]*TBL_Employees[[#This Row],[Annual Salary]]</f>
        <v>6709.1399999999994</v>
      </c>
      <c r="P103" t="str">
        <f>IF(TBL_Employees[[#This Row],[Age]]&gt;50,"Senior","Junior")</f>
        <v>Junior</v>
      </c>
      <c r="Q103" s="14" t="str">
        <f>IF(OR(D103="IT", J103&gt;100000), "YES", "NO")</f>
        <v>YES</v>
      </c>
      <c r="R103" s="14">
        <f>YEAR(TBL_Employees[[#This Row],[Hire Date]])</f>
        <v>2007</v>
      </c>
    </row>
    <row r="104" spans="1:18" x14ac:dyDescent="0.35">
      <c r="A104" t="s">
        <v>276</v>
      </c>
      <c r="B104" t="s">
        <v>277</v>
      </c>
      <c r="C104" t="s">
        <v>278</v>
      </c>
      <c r="D104" t="s">
        <v>70</v>
      </c>
      <c r="E104" t="s">
        <v>36</v>
      </c>
      <c r="F104" t="s">
        <v>27</v>
      </c>
      <c r="G104" t="s">
        <v>20</v>
      </c>
      <c r="H104">
        <v>56</v>
      </c>
      <c r="I104" s="5">
        <v>42031</v>
      </c>
      <c r="J104" s="11">
        <v>62575</v>
      </c>
      <c r="K104" s="6">
        <v>0</v>
      </c>
      <c r="L104" t="s">
        <v>21</v>
      </c>
      <c r="M104" t="s">
        <v>57</v>
      </c>
      <c r="N104" s="5" t="s">
        <v>31</v>
      </c>
      <c r="O104">
        <f>TBL_Employees[[#This Row],[Bonus %]]*TBL_Employees[[#This Row],[Annual Salary]]</f>
        <v>0</v>
      </c>
      <c r="P104" t="str">
        <f>IF(TBL_Employees[[#This Row],[Age]]&gt;50,"Senior","Junior")</f>
        <v>Senior</v>
      </c>
      <c r="Q104" s="14" t="str">
        <f>IF(OR(D104="IT", J104&gt;100000), "YES", "NO")</f>
        <v>NO</v>
      </c>
      <c r="R104" s="14">
        <f>YEAR(TBL_Employees[[#This Row],[Hire Date]])</f>
        <v>2015</v>
      </c>
    </row>
    <row r="105" spans="1:18" x14ac:dyDescent="0.35">
      <c r="A105" t="s">
        <v>279</v>
      </c>
      <c r="B105" t="s">
        <v>280</v>
      </c>
      <c r="C105" t="s">
        <v>34</v>
      </c>
      <c r="D105" t="s">
        <v>66</v>
      </c>
      <c r="E105" t="s">
        <v>50</v>
      </c>
      <c r="F105" t="s">
        <v>19</v>
      </c>
      <c r="G105" t="s">
        <v>28</v>
      </c>
      <c r="H105">
        <v>27</v>
      </c>
      <c r="I105" s="5">
        <v>44250</v>
      </c>
      <c r="J105" s="11">
        <v>199041</v>
      </c>
      <c r="K105" s="6">
        <v>0.16</v>
      </c>
      <c r="L105" t="s">
        <v>29</v>
      </c>
      <c r="M105" t="s">
        <v>115</v>
      </c>
      <c r="N105" s="5" t="s">
        <v>31</v>
      </c>
      <c r="O105">
        <f>TBL_Employees[[#This Row],[Bonus %]]*TBL_Employees[[#This Row],[Annual Salary]]</f>
        <v>31846.560000000001</v>
      </c>
      <c r="P105" t="str">
        <f>IF(TBL_Employees[[#This Row],[Age]]&gt;50,"Senior","Junior")</f>
        <v>Junior</v>
      </c>
      <c r="Q105" s="14" t="str">
        <f>IF(OR(D105="IT", J105&gt;100000), "YES", "NO")</f>
        <v>YES</v>
      </c>
      <c r="R105" s="14">
        <f>YEAR(TBL_Employees[[#This Row],[Hire Date]])</f>
        <v>2021</v>
      </c>
    </row>
    <row r="106" spans="1:18" x14ac:dyDescent="0.35">
      <c r="A106" t="s">
        <v>281</v>
      </c>
      <c r="B106" t="s">
        <v>282</v>
      </c>
      <c r="C106" t="s">
        <v>125</v>
      </c>
      <c r="D106" t="s">
        <v>60</v>
      </c>
      <c r="E106" t="s">
        <v>36</v>
      </c>
      <c r="F106" t="s">
        <v>27</v>
      </c>
      <c r="G106" t="s">
        <v>37</v>
      </c>
      <c r="H106">
        <v>55</v>
      </c>
      <c r="I106" s="5">
        <v>39177</v>
      </c>
      <c r="J106" s="11">
        <v>52310</v>
      </c>
      <c r="K106" s="6">
        <v>0</v>
      </c>
      <c r="L106" t="s">
        <v>21</v>
      </c>
      <c r="M106" t="s">
        <v>57</v>
      </c>
      <c r="N106" s="5">
        <v>43385</v>
      </c>
      <c r="O106">
        <f>TBL_Employees[[#This Row],[Bonus %]]*TBL_Employees[[#This Row],[Annual Salary]]</f>
        <v>0</v>
      </c>
      <c r="P106" t="str">
        <f>IF(TBL_Employees[[#This Row],[Age]]&gt;50,"Senior","Junior")</f>
        <v>Senior</v>
      </c>
      <c r="Q106" s="14" t="str">
        <f>IF(OR(D106="IT", J106&gt;100000), "YES", "NO")</f>
        <v>NO</v>
      </c>
      <c r="R106" s="14">
        <f>YEAR(TBL_Employees[[#This Row],[Hire Date]])</f>
        <v>2007</v>
      </c>
    </row>
    <row r="107" spans="1:18" x14ac:dyDescent="0.35">
      <c r="A107" t="s">
        <v>283</v>
      </c>
      <c r="B107" t="s">
        <v>284</v>
      </c>
      <c r="C107" t="s">
        <v>16</v>
      </c>
      <c r="D107" t="s">
        <v>35</v>
      </c>
      <c r="E107" t="s">
        <v>36</v>
      </c>
      <c r="F107" t="s">
        <v>27</v>
      </c>
      <c r="G107" t="s">
        <v>20</v>
      </c>
      <c r="H107">
        <v>64</v>
      </c>
      <c r="I107" s="5">
        <v>41454</v>
      </c>
      <c r="J107" s="11">
        <v>159571</v>
      </c>
      <c r="K107" s="6">
        <v>0.1</v>
      </c>
      <c r="L107" t="s">
        <v>21</v>
      </c>
      <c r="M107" t="s">
        <v>89</v>
      </c>
      <c r="N107" s="5" t="s">
        <v>31</v>
      </c>
      <c r="O107">
        <f>TBL_Employees[[#This Row],[Bonus %]]*TBL_Employees[[#This Row],[Annual Salary]]</f>
        <v>15957.1</v>
      </c>
      <c r="P107" t="str">
        <f>IF(TBL_Employees[[#This Row],[Age]]&gt;50,"Senior","Junior")</f>
        <v>Senior</v>
      </c>
      <c r="Q107" s="14" t="str">
        <f>IF(OR(D107="IT", J107&gt;100000), "YES", "NO")</f>
        <v>YES</v>
      </c>
      <c r="R107" s="14">
        <f>YEAR(TBL_Employees[[#This Row],[Hire Date]])</f>
        <v>2013</v>
      </c>
    </row>
    <row r="108" spans="1:18" x14ac:dyDescent="0.35">
      <c r="A108" t="s">
        <v>285</v>
      </c>
      <c r="B108" t="s">
        <v>286</v>
      </c>
      <c r="C108" t="s">
        <v>176</v>
      </c>
      <c r="D108" t="s">
        <v>70</v>
      </c>
      <c r="E108" t="s">
        <v>18</v>
      </c>
      <c r="F108" t="s">
        <v>19</v>
      </c>
      <c r="G108" t="s">
        <v>86</v>
      </c>
      <c r="H108">
        <v>50</v>
      </c>
      <c r="I108" s="5">
        <v>35726</v>
      </c>
      <c r="J108" s="11">
        <v>91763</v>
      </c>
      <c r="K108" s="6">
        <v>0</v>
      </c>
      <c r="L108" t="s">
        <v>21</v>
      </c>
      <c r="M108" t="s">
        <v>61</v>
      </c>
      <c r="N108" s="5" t="s">
        <v>31</v>
      </c>
      <c r="O108">
        <f>TBL_Employees[[#This Row],[Bonus %]]*TBL_Employees[[#This Row],[Annual Salary]]</f>
        <v>0</v>
      </c>
      <c r="P108" t="str">
        <f>IF(TBL_Employees[[#This Row],[Age]]&gt;50,"Senior","Junior")</f>
        <v>Junior</v>
      </c>
      <c r="Q108" s="14" t="str">
        <f>IF(OR(D108="IT", J108&gt;100000), "YES", "NO")</f>
        <v>NO</v>
      </c>
      <c r="R108" s="14">
        <f>YEAR(TBL_Employees[[#This Row],[Hire Date]])</f>
        <v>1997</v>
      </c>
    </row>
    <row r="109" spans="1:18" x14ac:dyDescent="0.35">
      <c r="A109" t="s">
        <v>287</v>
      </c>
      <c r="B109" t="s">
        <v>288</v>
      </c>
      <c r="C109" t="s">
        <v>278</v>
      </c>
      <c r="D109" t="s">
        <v>70</v>
      </c>
      <c r="E109" t="s">
        <v>50</v>
      </c>
      <c r="F109" t="s">
        <v>19</v>
      </c>
      <c r="G109" t="s">
        <v>37</v>
      </c>
      <c r="H109">
        <v>51</v>
      </c>
      <c r="I109" s="5">
        <v>35055</v>
      </c>
      <c r="J109" s="11">
        <v>96475</v>
      </c>
      <c r="K109" s="6">
        <v>0</v>
      </c>
      <c r="L109" t="s">
        <v>21</v>
      </c>
      <c r="M109" t="s">
        <v>61</v>
      </c>
      <c r="N109" s="5" t="s">
        <v>31</v>
      </c>
      <c r="O109">
        <f>TBL_Employees[[#This Row],[Bonus %]]*TBL_Employees[[#This Row],[Annual Salary]]</f>
        <v>0</v>
      </c>
      <c r="P109" t="str">
        <f>IF(TBL_Employees[[#This Row],[Age]]&gt;50,"Senior","Junior")</f>
        <v>Senior</v>
      </c>
      <c r="Q109" s="14" t="str">
        <f>IF(OR(D109="IT", J109&gt;100000), "YES", "NO")</f>
        <v>NO</v>
      </c>
      <c r="R109" s="14">
        <f>YEAR(TBL_Employees[[#This Row],[Hire Date]])</f>
        <v>1995</v>
      </c>
    </row>
    <row r="110" spans="1:18" x14ac:dyDescent="0.35">
      <c r="A110" t="s">
        <v>289</v>
      </c>
      <c r="B110" t="s">
        <v>290</v>
      </c>
      <c r="C110" t="s">
        <v>69</v>
      </c>
      <c r="D110" t="s">
        <v>70</v>
      </c>
      <c r="E110" t="s">
        <v>26</v>
      </c>
      <c r="F110" t="s">
        <v>27</v>
      </c>
      <c r="G110" t="s">
        <v>37</v>
      </c>
      <c r="H110">
        <v>36</v>
      </c>
      <c r="I110" s="5">
        <v>42706</v>
      </c>
      <c r="J110" s="11">
        <v>113781</v>
      </c>
      <c r="K110" s="6">
        <v>0</v>
      </c>
      <c r="L110" t="s">
        <v>21</v>
      </c>
      <c r="M110" t="s">
        <v>89</v>
      </c>
      <c r="N110" s="5" t="s">
        <v>31</v>
      </c>
      <c r="O110">
        <f>TBL_Employees[[#This Row],[Bonus %]]*TBL_Employees[[#This Row],[Annual Salary]]</f>
        <v>0</v>
      </c>
      <c r="P110" t="str">
        <f>IF(TBL_Employees[[#This Row],[Age]]&gt;50,"Senior","Junior")</f>
        <v>Junior</v>
      </c>
      <c r="Q110" s="14" t="str">
        <f>IF(OR(D110="IT", J110&gt;100000), "YES", "NO")</f>
        <v>YES</v>
      </c>
      <c r="R110" s="14">
        <f>YEAR(TBL_Employees[[#This Row],[Hire Date]])</f>
        <v>2016</v>
      </c>
    </row>
    <row r="111" spans="1:18" x14ac:dyDescent="0.35">
      <c r="A111" t="s">
        <v>291</v>
      </c>
      <c r="B111" t="s">
        <v>292</v>
      </c>
      <c r="C111" t="s">
        <v>34</v>
      </c>
      <c r="D111" t="s">
        <v>35</v>
      </c>
      <c r="E111" t="s">
        <v>18</v>
      </c>
      <c r="F111" t="s">
        <v>27</v>
      </c>
      <c r="G111" t="s">
        <v>28</v>
      </c>
      <c r="H111">
        <v>42</v>
      </c>
      <c r="I111" s="5">
        <v>37636</v>
      </c>
      <c r="J111" s="11">
        <v>166599</v>
      </c>
      <c r="K111" s="6">
        <v>0.26</v>
      </c>
      <c r="L111" t="s">
        <v>21</v>
      </c>
      <c r="M111" t="s">
        <v>22</v>
      </c>
      <c r="N111" s="5" t="s">
        <v>31</v>
      </c>
      <c r="O111">
        <f>TBL_Employees[[#This Row],[Bonus %]]*TBL_Employees[[#This Row],[Annual Salary]]</f>
        <v>43315.74</v>
      </c>
      <c r="P111" t="str">
        <f>IF(TBL_Employees[[#This Row],[Age]]&gt;50,"Senior","Junior")</f>
        <v>Junior</v>
      </c>
      <c r="Q111" s="14" t="str">
        <f>IF(OR(D111="IT", J111&gt;100000), "YES", "NO")</f>
        <v>YES</v>
      </c>
      <c r="R111" s="14">
        <f>YEAR(TBL_Employees[[#This Row],[Hire Date]])</f>
        <v>2003</v>
      </c>
    </row>
    <row r="112" spans="1:18" x14ac:dyDescent="0.35">
      <c r="A112" t="s">
        <v>293</v>
      </c>
      <c r="B112" t="s">
        <v>294</v>
      </c>
      <c r="C112" t="s">
        <v>295</v>
      </c>
      <c r="D112" t="s">
        <v>49</v>
      </c>
      <c r="E112" t="s">
        <v>50</v>
      </c>
      <c r="F112" t="s">
        <v>19</v>
      </c>
      <c r="G112" t="s">
        <v>28</v>
      </c>
      <c r="H112">
        <v>41</v>
      </c>
      <c r="I112" s="5">
        <v>38398</v>
      </c>
      <c r="J112" s="11">
        <v>95372</v>
      </c>
      <c r="K112" s="6">
        <v>0</v>
      </c>
      <c r="L112" t="s">
        <v>29</v>
      </c>
      <c r="M112" t="s">
        <v>75</v>
      </c>
      <c r="N112" s="5" t="s">
        <v>31</v>
      </c>
      <c r="O112">
        <f>TBL_Employees[[#This Row],[Bonus %]]*TBL_Employees[[#This Row],[Annual Salary]]</f>
        <v>0</v>
      </c>
      <c r="P112" t="str">
        <f>IF(TBL_Employees[[#This Row],[Age]]&gt;50,"Senior","Junior")</f>
        <v>Junior</v>
      </c>
      <c r="Q112" s="14" t="str">
        <f>IF(OR(D112="IT", J112&gt;100000), "YES", "NO")</f>
        <v>NO</v>
      </c>
      <c r="R112" s="14">
        <f>YEAR(TBL_Employees[[#This Row],[Hire Date]])</f>
        <v>2005</v>
      </c>
    </row>
    <row r="113" spans="1:18" x14ac:dyDescent="0.35">
      <c r="A113" t="s">
        <v>296</v>
      </c>
      <c r="B113" t="s">
        <v>297</v>
      </c>
      <c r="C113" t="s">
        <v>34</v>
      </c>
      <c r="D113" t="s">
        <v>17</v>
      </c>
      <c r="E113" t="s">
        <v>18</v>
      </c>
      <c r="F113" t="s">
        <v>19</v>
      </c>
      <c r="G113" t="s">
        <v>28</v>
      </c>
      <c r="H113">
        <v>29</v>
      </c>
      <c r="I113" s="5">
        <v>44052</v>
      </c>
      <c r="J113" s="11">
        <v>161203</v>
      </c>
      <c r="K113" s="6">
        <v>0.15</v>
      </c>
      <c r="L113" t="s">
        <v>29</v>
      </c>
      <c r="M113" t="s">
        <v>135</v>
      </c>
      <c r="N113" s="5" t="s">
        <v>31</v>
      </c>
      <c r="O113">
        <f>TBL_Employees[[#This Row],[Bonus %]]*TBL_Employees[[#This Row],[Annual Salary]]</f>
        <v>24180.45</v>
      </c>
      <c r="P113" t="str">
        <f>IF(TBL_Employees[[#This Row],[Age]]&gt;50,"Senior","Junior")</f>
        <v>Junior</v>
      </c>
      <c r="Q113" s="14" t="str">
        <f>IF(OR(D113="IT", J113&gt;100000), "YES", "NO")</f>
        <v>YES</v>
      </c>
      <c r="R113" s="14">
        <f>YEAR(TBL_Employees[[#This Row],[Hire Date]])</f>
        <v>2020</v>
      </c>
    </row>
    <row r="114" spans="1:18" x14ac:dyDescent="0.35">
      <c r="A114" t="s">
        <v>298</v>
      </c>
      <c r="B114" t="s">
        <v>299</v>
      </c>
      <c r="C114" t="s">
        <v>300</v>
      </c>
      <c r="D114" t="s">
        <v>17</v>
      </c>
      <c r="E114" t="s">
        <v>26</v>
      </c>
      <c r="F114" t="s">
        <v>19</v>
      </c>
      <c r="G114" t="s">
        <v>37</v>
      </c>
      <c r="H114">
        <v>44</v>
      </c>
      <c r="I114" s="5">
        <v>39064</v>
      </c>
      <c r="J114" s="11">
        <v>74738</v>
      </c>
      <c r="K114" s="6">
        <v>0</v>
      </c>
      <c r="L114" t="s">
        <v>21</v>
      </c>
      <c r="M114" t="s">
        <v>57</v>
      </c>
      <c r="N114" s="5" t="s">
        <v>31</v>
      </c>
      <c r="O114">
        <f>TBL_Employees[[#This Row],[Bonus %]]*TBL_Employees[[#This Row],[Annual Salary]]</f>
        <v>0</v>
      </c>
      <c r="P114" t="str">
        <f>IF(TBL_Employees[[#This Row],[Age]]&gt;50,"Senior","Junior")</f>
        <v>Junior</v>
      </c>
      <c r="Q114" s="14" t="str">
        <f>IF(OR(D114="IT", J114&gt;100000), "YES", "NO")</f>
        <v>YES</v>
      </c>
      <c r="R114" s="14">
        <f>YEAR(TBL_Employees[[#This Row],[Hire Date]])</f>
        <v>2006</v>
      </c>
    </row>
    <row r="115" spans="1:18" x14ac:dyDescent="0.35">
      <c r="A115" t="s">
        <v>301</v>
      </c>
      <c r="B115" t="s">
        <v>302</v>
      </c>
      <c r="C115" t="s">
        <v>34</v>
      </c>
      <c r="D115" t="s">
        <v>49</v>
      </c>
      <c r="E115" t="s">
        <v>18</v>
      </c>
      <c r="F115" t="s">
        <v>19</v>
      </c>
      <c r="G115" t="s">
        <v>28</v>
      </c>
      <c r="H115">
        <v>41</v>
      </c>
      <c r="I115" s="5">
        <v>43322</v>
      </c>
      <c r="J115" s="11">
        <v>171173</v>
      </c>
      <c r="K115" s="6">
        <v>0.21</v>
      </c>
      <c r="L115" t="s">
        <v>21</v>
      </c>
      <c r="M115" t="s">
        <v>89</v>
      </c>
      <c r="N115" s="5" t="s">
        <v>31</v>
      </c>
      <c r="O115">
        <f>TBL_Employees[[#This Row],[Bonus %]]*TBL_Employees[[#This Row],[Annual Salary]]</f>
        <v>35946.33</v>
      </c>
      <c r="P115" t="str">
        <f>IF(TBL_Employees[[#This Row],[Age]]&gt;50,"Senior","Junior")</f>
        <v>Junior</v>
      </c>
      <c r="Q115" s="14" t="str">
        <f>IF(OR(D115="IT", J115&gt;100000), "YES", "NO")</f>
        <v>YES</v>
      </c>
      <c r="R115" s="14">
        <f>YEAR(TBL_Employees[[#This Row],[Hire Date]])</f>
        <v>2018</v>
      </c>
    </row>
    <row r="116" spans="1:18" x14ac:dyDescent="0.35">
      <c r="A116" t="s">
        <v>303</v>
      </c>
      <c r="B116" t="s">
        <v>304</v>
      </c>
      <c r="C116" t="s">
        <v>80</v>
      </c>
      <c r="D116" t="s">
        <v>49</v>
      </c>
      <c r="E116" t="s">
        <v>50</v>
      </c>
      <c r="F116" t="s">
        <v>27</v>
      </c>
      <c r="G116" t="s">
        <v>86</v>
      </c>
      <c r="H116">
        <v>61</v>
      </c>
      <c r="I116" s="5">
        <v>43732</v>
      </c>
      <c r="J116" s="11">
        <v>201464</v>
      </c>
      <c r="K116" s="6">
        <v>0.37</v>
      </c>
      <c r="L116" t="s">
        <v>21</v>
      </c>
      <c r="M116" t="s">
        <v>38</v>
      </c>
      <c r="N116" s="5" t="s">
        <v>31</v>
      </c>
      <c r="O116">
        <f>TBL_Employees[[#This Row],[Bonus %]]*TBL_Employees[[#This Row],[Annual Salary]]</f>
        <v>74541.679999999993</v>
      </c>
      <c r="P116" t="str">
        <f>IF(TBL_Employees[[#This Row],[Age]]&gt;50,"Senior","Junior")</f>
        <v>Senior</v>
      </c>
      <c r="Q116" s="14" t="str">
        <f>IF(OR(D116="IT", J116&gt;100000), "YES", "NO")</f>
        <v>YES</v>
      </c>
      <c r="R116" s="14">
        <f>YEAR(TBL_Employees[[#This Row],[Hire Date]])</f>
        <v>2019</v>
      </c>
    </row>
    <row r="117" spans="1:18" x14ac:dyDescent="0.35">
      <c r="A117" t="s">
        <v>305</v>
      </c>
      <c r="B117" t="s">
        <v>306</v>
      </c>
      <c r="C117" t="s">
        <v>34</v>
      </c>
      <c r="D117" t="s">
        <v>66</v>
      </c>
      <c r="E117" t="s">
        <v>50</v>
      </c>
      <c r="F117" t="s">
        <v>27</v>
      </c>
      <c r="G117" t="s">
        <v>37</v>
      </c>
      <c r="H117">
        <v>50</v>
      </c>
      <c r="I117" s="5">
        <v>35998</v>
      </c>
      <c r="J117" s="11">
        <v>174895</v>
      </c>
      <c r="K117" s="6">
        <v>0.15</v>
      </c>
      <c r="L117" t="s">
        <v>21</v>
      </c>
      <c r="M117" t="s">
        <v>38</v>
      </c>
      <c r="N117" s="5" t="s">
        <v>31</v>
      </c>
      <c r="O117">
        <f>TBL_Employees[[#This Row],[Bonus %]]*TBL_Employees[[#This Row],[Annual Salary]]</f>
        <v>26234.25</v>
      </c>
      <c r="P117" t="str">
        <f>IF(TBL_Employees[[#This Row],[Age]]&gt;50,"Senior","Junior")</f>
        <v>Junior</v>
      </c>
      <c r="Q117" s="14" t="str">
        <f>IF(OR(D117="IT", J117&gt;100000), "YES", "NO")</f>
        <v>YES</v>
      </c>
      <c r="R117" s="14">
        <f>YEAR(TBL_Employees[[#This Row],[Hire Date]])</f>
        <v>1998</v>
      </c>
    </row>
    <row r="118" spans="1:18" x14ac:dyDescent="0.35">
      <c r="A118" t="s">
        <v>307</v>
      </c>
      <c r="B118" t="s">
        <v>308</v>
      </c>
      <c r="C118" t="s">
        <v>16</v>
      </c>
      <c r="D118" t="s">
        <v>17</v>
      </c>
      <c r="E118" t="s">
        <v>26</v>
      </c>
      <c r="F118" t="s">
        <v>19</v>
      </c>
      <c r="G118" t="s">
        <v>28</v>
      </c>
      <c r="H118">
        <v>49</v>
      </c>
      <c r="I118" s="5">
        <v>38825</v>
      </c>
      <c r="J118" s="11">
        <v>134486</v>
      </c>
      <c r="K118" s="6">
        <v>0.14000000000000001</v>
      </c>
      <c r="L118" t="s">
        <v>21</v>
      </c>
      <c r="M118" t="s">
        <v>61</v>
      </c>
      <c r="N118" s="5" t="s">
        <v>31</v>
      </c>
      <c r="O118">
        <f>TBL_Employees[[#This Row],[Bonus %]]*TBL_Employees[[#This Row],[Annual Salary]]</f>
        <v>18828.04</v>
      </c>
      <c r="P118" t="str">
        <f>IF(TBL_Employees[[#This Row],[Age]]&gt;50,"Senior","Junior")</f>
        <v>Junior</v>
      </c>
      <c r="Q118" s="14" t="str">
        <f>IF(OR(D118="IT", J118&gt;100000), "YES", "NO")</f>
        <v>YES</v>
      </c>
      <c r="R118" s="14">
        <f>YEAR(TBL_Employees[[#This Row],[Hire Date]])</f>
        <v>2006</v>
      </c>
    </row>
    <row r="119" spans="1:18" x14ac:dyDescent="0.35">
      <c r="A119" t="s">
        <v>309</v>
      </c>
      <c r="B119" t="s">
        <v>310</v>
      </c>
      <c r="C119" t="s">
        <v>44</v>
      </c>
      <c r="D119" t="s">
        <v>35</v>
      </c>
      <c r="E119" t="s">
        <v>26</v>
      </c>
      <c r="F119" t="s">
        <v>19</v>
      </c>
      <c r="G119" t="s">
        <v>86</v>
      </c>
      <c r="H119">
        <v>60</v>
      </c>
      <c r="I119" s="5">
        <v>39137</v>
      </c>
      <c r="J119" s="11">
        <v>71699</v>
      </c>
      <c r="K119" s="6">
        <v>0</v>
      </c>
      <c r="L119" t="s">
        <v>94</v>
      </c>
      <c r="M119" t="s">
        <v>95</v>
      </c>
      <c r="N119" s="5" t="s">
        <v>31</v>
      </c>
      <c r="O119">
        <f>TBL_Employees[[#This Row],[Bonus %]]*TBL_Employees[[#This Row],[Annual Salary]]</f>
        <v>0</v>
      </c>
      <c r="P119" t="str">
        <f>IF(TBL_Employees[[#This Row],[Age]]&gt;50,"Senior","Junior")</f>
        <v>Senior</v>
      </c>
      <c r="Q119" s="14" t="str">
        <f>IF(OR(D119="IT", J119&gt;100000), "YES", "NO")</f>
        <v>NO</v>
      </c>
      <c r="R119" s="14">
        <f>YEAR(TBL_Employees[[#This Row],[Hire Date]])</f>
        <v>2007</v>
      </c>
    </row>
    <row r="120" spans="1:18" x14ac:dyDescent="0.35">
      <c r="A120" t="s">
        <v>311</v>
      </c>
      <c r="B120" t="s">
        <v>312</v>
      </c>
      <c r="C120" t="s">
        <v>44</v>
      </c>
      <c r="D120" t="s">
        <v>81</v>
      </c>
      <c r="E120" t="s">
        <v>50</v>
      </c>
      <c r="F120" t="s">
        <v>19</v>
      </c>
      <c r="G120" t="s">
        <v>86</v>
      </c>
      <c r="H120">
        <v>42</v>
      </c>
      <c r="I120" s="5">
        <v>44198</v>
      </c>
      <c r="J120" s="11">
        <v>94430</v>
      </c>
      <c r="K120" s="6">
        <v>0</v>
      </c>
      <c r="L120" t="s">
        <v>21</v>
      </c>
      <c r="M120" t="s">
        <v>22</v>
      </c>
      <c r="N120" s="5" t="s">
        <v>31</v>
      </c>
      <c r="O120">
        <f>TBL_Employees[[#This Row],[Bonus %]]*TBL_Employees[[#This Row],[Annual Salary]]</f>
        <v>0</v>
      </c>
      <c r="P120" t="str">
        <f>IF(TBL_Employees[[#This Row],[Age]]&gt;50,"Senior","Junior")</f>
        <v>Junior</v>
      </c>
      <c r="Q120" s="14" t="str">
        <f>IF(OR(D120="IT", J120&gt;100000), "YES", "NO")</f>
        <v>NO</v>
      </c>
      <c r="R120" s="14">
        <f>YEAR(TBL_Employees[[#This Row],[Hire Date]])</f>
        <v>2021</v>
      </c>
    </row>
    <row r="121" spans="1:18" x14ac:dyDescent="0.35">
      <c r="A121" t="s">
        <v>313</v>
      </c>
      <c r="B121" t="s">
        <v>314</v>
      </c>
      <c r="C121" t="s">
        <v>53</v>
      </c>
      <c r="D121" t="s">
        <v>35</v>
      </c>
      <c r="E121" t="s">
        <v>50</v>
      </c>
      <c r="F121" t="s">
        <v>27</v>
      </c>
      <c r="G121" t="s">
        <v>28</v>
      </c>
      <c r="H121">
        <v>39</v>
      </c>
      <c r="I121" s="5">
        <v>40192</v>
      </c>
      <c r="J121" s="11">
        <v>103504</v>
      </c>
      <c r="K121" s="6">
        <v>7.0000000000000007E-2</v>
      </c>
      <c r="L121" t="s">
        <v>29</v>
      </c>
      <c r="M121" t="s">
        <v>135</v>
      </c>
      <c r="N121" s="5" t="s">
        <v>31</v>
      </c>
      <c r="O121">
        <f>TBL_Employees[[#This Row],[Bonus %]]*TBL_Employees[[#This Row],[Annual Salary]]</f>
        <v>7245.2800000000007</v>
      </c>
      <c r="P121" t="str">
        <f>IF(TBL_Employees[[#This Row],[Age]]&gt;50,"Senior","Junior")</f>
        <v>Junior</v>
      </c>
      <c r="Q121" s="14" t="str">
        <f>IF(OR(D121="IT", J121&gt;100000), "YES", "NO")</f>
        <v>YES</v>
      </c>
      <c r="R121" s="14">
        <f>YEAR(TBL_Employees[[#This Row],[Hire Date]])</f>
        <v>2010</v>
      </c>
    </row>
    <row r="122" spans="1:18" x14ac:dyDescent="0.35">
      <c r="A122" t="s">
        <v>315</v>
      </c>
      <c r="B122" t="s">
        <v>316</v>
      </c>
      <c r="C122" t="s">
        <v>132</v>
      </c>
      <c r="D122" t="s">
        <v>17</v>
      </c>
      <c r="E122" t="s">
        <v>26</v>
      </c>
      <c r="F122" t="s">
        <v>19</v>
      </c>
      <c r="G122" t="s">
        <v>28</v>
      </c>
      <c r="H122">
        <v>55</v>
      </c>
      <c r="I122" s="5">
        <v>38573</v>
      </c>
      <c r="J122" s="11">
        <v>92771</v>
      </c>
      <c r="K122" s="6">
        <v>0</v>
      </c>
      <c r="L122" t="s">
        <v>21</v>
      </c>
      <c r="M122" t="s">
        <v>57</v>
      </c>
      <c r="N122" s="5" t="s">
        <v>31</v>
      </c>
      <c r="O122">
        <f>TBL_Employees[[#This Row],[Bonus %]]*TBL_Employees[[#This Row],[Annual Salary]]</f>
        <v>0</v>
      </c>
      <c r="P122" t="str">
        <f>IF(TBL_Employees[[#This Row],[Age]]&gt;50,"Senior","Junior")</f>
        <v>Senior</v>
      </c>
      <c r="Q122" s="14" t="str">
        <f>IF(OR(D122="IT", J122&gt;100000), "YES", "NO")</f>
        <v>YES</v>
      </c>
      <c r="R122" s="14">
        <f>YEAR(TBL_Employees[[#This Row],[Hire Date]])</f>
        <v>2005</v>
      </c>
    </row>
    <row r="123" spans="1:18" x14ac:dyDescent="0.35">
      <c r="A123" t="s">
        <v>317</v>
      </c>
      <c r="B123" t="s">
        <v>318</v>
      </c>
      <c r="C123" t="s">
        <v>125</v>
      </c>
      <c r="D123" t="s">
        <v>35</v>
      </c>
      <c r="E123" t="s">
        <v>36</v>
      </c>
      <c r="F123" t="s">
        <v>19</v>
      </c>
      <c r="G123" t="s">
        <v>86</v>
      </c>
      <c r="H123">
        <v>39</v>
      </c>
      <c r="I123" s="5">
        <v>38813</v>
      </c>
      <c r="J123" s="11">
        <v>71531</v>
      </c>
      <c r="K123" s="6">
        <v>0</v>
      </c>
      <c r="L123" t="s">
        <v>21</v>
      </c>
      <c r="M123" t="s">
        <v>89</v>
      </c>
      <c r="N123" s="5" t="s">
        <v>31</v>
      </c>
      <c r="O123">
        <f>TBL_Employees[[#This Row],[Bonus %]]*TBL_Employees[[#This Row],[Annual Salary]]</f>
        <v>0</v>
      </c>
      <c r="P123" t="str">
        <f>IF(TBL_Employees[[#This Row],[Age]]&gt;50,"Senior","Junior")</f>
        <v>Junior</v>
      </c>
      <c r="Q123" s="14" t="str">
        <f>IF(OR(D123="IT", J123&gt;100000), "YES", "NO")</f>
        <v>NO</v>
      </c>
      <c r="R123" s="14">
        <f>YEAR(TBL_Employees[[#This Row],[Hire Date]])</f>
        <v>2006</v>
      </c>
    </row>
    <row r="124" spans="1:18" x14ac:dyDescent="0.35">
      <c r="A124" t="s">
        <v>319</v>
      </c>
      <c r="B124" t="s">
        <v>320</v>
      </c>
      <c r="C124" t="s">
        <v>208</v>
      </c>
      <c r="D124" t="s">
        <v>17</v>
      </c>
      <c r="E124" t="s">
        <v>36</v>
      </c>
      <c r="F124" t="s">
        <v>27</v>
      </c>
      <c r="G124" t="s">
        <v>20</v>
      </c>
      <c r="H124">
        <v>28</v>
      </c>
      <c r="I124" s="5">
        <v>43530</v>
      </c>
      <c r="J124" s="11">
        <v>90304</v>
      </c>
      <c r="K124" s="6">
        <v>0</v>
      </c>
      <c r="L124" t="s">
        <v>21</v>
      </c>
      <c r="M124" t="s">
        <v>38</v>
      </c>
      <c r="N124" s="5" t="s">
        <v>31</v>
      </c>
      <c r="O124">
        <f>TBL_Employees[[#This Row],[Bonus %]]*TBL_Employees[[#This Row],[Annual Salary]]</f>
        <v>0</v>
      </c>
      <c r="P124" t="str">
        <f>IF(TBL_Employees[[#This Row],[Age]]&gt;50,"Senior","Junior")</f>
        <v>Junior</v>
      </c>
      <c r="Q124" s="14" t="str">
        <f>IF(OR(D124="IT", J124&gt;100000), "YES", "NO")</f>
        <v>YES</v>
      </c>
      <c r="R124" s="14">
        <f>YEAR(TBL_Employees[[#This Row],[Hire Date]])</f>
        <v>2019</v>
      </c>
    </row>
    <row r="125" spans="1:18" x14ac:dyDescent="0.35">
      <c r="A125" t="s">
        <v>321</v>
      </c>
      <c r="B125" t="s">
        <v>322</v>
      </c>
      <c r="C125" t="s">
        <v>53</v>
      </c>
      <c r="D125" t="s">
        <v>81</v>
      </c>
      <c r="E125" t="s">
        <v>26</v>
      </c>
      <c r="F125" t="s">
        <v>19</v>
      </c>
      <c r="G125" t="s">
        <v>37</v>
      </c>
      <c r="H125">
        <v>65</v>
      </c>
      <c r="I125" s="5">
        <v>40793</v>
      </c>
      <c r="J125" s="11">
        <v>104903</v>
      </c>
      <c r="K125" s="6">
        <v>0.1</v>
      </c>
      <c r="L125" t="s">
        <v>21</v>
      </c>
      <c r="M125" t="s">
        <v>89</v>
      </c>
      <c r="N125" s="5" t="s">
        <v>31</v>
      </c>
      <c r="O125">
        <f>TBL_Employees[[#This Row],[Bonus %]]*TBL_Employees[[#This Row],[Annual Salary]]</f>
        <v>10490.300000000001</v>
      </c>
      <c r="P125" t="str">
        <f>IF(TBL_Employees[[#This Row],[Age]]&gt;50,"Senior","Junior")</f>
        <v>Senior</v>
      </c>
      <c r="Q125" s="14" t="str">
        <f>IF(OR(D125="IT", J125&gt;100000), "YES", "NO")</f>
        <v>YES</v>
      </c>
      <c r="R125" s="14">
        <f>YEAR(TBL_Employees[[#This Row],[Hire Date]])</f>
        <v>2011</v>
      </c>
    </row>
    <row r="126" spans="1:18" x14ac:dyDescent="0.35">
      <c r="A126" t="s">
        <v>323</v>
      </c>
      <c r="B126" t="s">
        <v>324</v>
      </c>
      <c r="C126" t="s">
        <v>56</v>
      </c>
      <c r="D126" t="s">
        <v>35</v>
      </c>
      <c r="E126" t="s">
        <v>50</v>
      </c>
      <c r="F126" t="s">
        <v>19</v>
      </c>
      <c r="G126" t="s">
        <v>28</v>
      </c>
      <c r="H126">
        <v>52</v>
      </c>
      <c r="I126" s="5">
        <v>43515</v>
      </c>
      <c r="J126" s="11">
        <v>55859</v>
      </c>
      <c r="K126" s="6">
        <v>0</v>
      </c>
      <c r="L126" t="s">
        <v>29</v>
      </c>
      <c r="M126" t="s">
        <v>115</v>
      </c>
      <c r="N126" s="5" t="s">
        <v>31</v>
      </c>
      <c r="O126">
        <f>TBL_Employees[[#This Row],[Bonus %]]*TBL_Employees[[#This Row],[Annual Salary]]</f>
        <v>0</v>
      </c>
      <c r="P126" t="str">
        <f>IF(TBL_Employees[[#This Row],[Age]]&gt;50,"Senior","Junior")</f>
        <v>Senior</v>
      </c>
      <c r="Q126" s="14" t="str">
        <f>IF(OR(D126="IT", J126&gt;100000), "YES", "NO")</f>
        <v>NO</v>
      </c>
      <c r="R126" s="14">
        <f>YEAR(TBL_Employees[[#This Row],[Hire Date]])</f>
        <v>2019</v>
      </c>
    </row>
    <row r="127" spans="1:18" x14ac:dyDescent="0.35">
      <c r="A127" t="s">
        <v>325</v>
      </c>
      <c r="B127" t="s">
        <v>326</v>
      </c>
      <c r="C127" t="s">
        <v>182</v>
      </c>
      <c r="D127" t="s">
        <v>70</v>
      </c>
      <c r="E127" t="s">
        <v>50</v>
      </c>
      <c r="F127" t="s">
        <v>19</v>
      </c>
      <c r="G127" t="s">
        <v>86</v>
      </c>
      <c r="H127">
        <v>62</v>
      </c>
      <c r="I127" s="5">
        <v>39002</v>
      </c>
      <c r="J127" s="11">
        <v>79785</v>
      </c>
      <c r="K127" s="6">
        <v>0</v>
      </c>
      <c r="L127" t="s">
        <v>21</v>
      </c>
      <c r="M127" t="s">
        <v>61</v>
      </c>
      <c r="N127" s="5" t="s">
        <v>31</v>
      </c>
      <c r="O127">
        <f>TBL_Employees[[#This Row],[Bonus %]]*TBL_Employees[[#This Row],[Annual Salary]]</f>
        <v>0</v>
      </c>
      <c r="P127" t="str">
        <f>IF(TBL_Employees[[#This Row],[Age]]&gt;50,"Senior","Junior")</f>
        <v>Senior</v>
      </c>
      <c r="Q127" s="14" t="str">
        <f>IF(OR(D127="IT", J127&gt;100000), "YES", "NO")</f>
        <v>NO</v>
      </c>
      <c r="R127" s="14">
        <f>YEAR(TBL_Employees[[#This Row],[Hire Date]])</f>
        <v>2006</v>
      </c>
    </row>
    <row r="128" spans="1:18" x14ac:dyDescent="0.35">
      <c r="A128" t="s">
        <v>327</v>
      </c>
      <c r="B128" t="s">
        <v>328</v>
      </c>
      <c r="C128" t="s">
        <v>44</v>
      </c>
      <c r="D128" t="s">
        <v>81</v>
      </c>
      <c r="E128" t="s">
        <v>50</v>
      </c>
      <c r="F128" t="s">
        <v>19</v>
      </c>
      <c r="G128" t="s">
        <v>28</v>
      </c>
      <c r="H128">
        <v>39</v>
      </c>
      <c r="I128" s="5">
        <v>39391</v>
      </c>
      <c r="J128" s="11">
        <v>99017</v>
      </c>
      <c r="K128" s="6">
        <v>0</v>
      </c>
      <c r="L128" t="s">
        <v>29</v>
      </c>
      <c r="M128" t="s">
        <v>115</v>
      </c>
      <c r="N128" s="5" t="s">
        <v>31</v>
      </c>
      <c r="O128">
        <f>TBL_Employees[[#This Row],[Bonus %]]*TBL_Employees[[#This Row],[Annual Salary]]</f>
        <v>0</v>
      </c>
      <c r="P128" t="str">
        <f>IF(TBL_Employees[[#This Row],[Age]]&gt;50,"Senior","Junior")</f>
        <v>Junior</v>
      </c>
      <c r="Q128" s="14" t="str">
        <f>IF(OR(D128="IT", J128&gt;100000), "YES", "NO")</f>
        <v>NO</v>
      </c>
      <c r="R128" s="14">
        <f>YEAR(TBL_Employees[[#This Row],[Hire Date]])</f>
        <v>2007</v>
      </c>
    </row>
    <row r="129" spans="1:18" x14ac:dyDescent="0.35">
      <c r="A129" t="s">
        <v>329</v>
      </c>
      <c r="B129" t="s">
        <v>330</v>
      </c>
      <c r="C129" t="s">
        <v>331</v>
      </c>
      <c r="D129" t="s">
        <v>17</v>
      </c>
      <c r="E129" t="s">
        <v>26</v>
      </c>
      <c r="F129" t="s">
        <v>19</v>
      </c>
      <c r="G129" t="s">
        <v>37</v>
      </c>
      <c r="H129">
        <v>63</v>
      </c>
      <c r="I129" s="5">
        <v>33695</v>
      </c>
      <c r="J129" s="11">
        <v>53809</v>
      </c>
      <c r="K129" s="6">
        <v>0</v>
      </c>
      <c r="L129" t="s">
        <v>21</v>
      </c>
      <c r="M129" t="s">
        <v>45</v>
      </c>
      <c r="N129" s="5" t="s">
        <v>31</v>
      </c>
      <c r="O129">
        <f>TBL_Employees[[#This Row],[Bonus %]]*TBL_Employees[[#This Row],[Annual Salary]]</f>
        <v>0</v>
      </c>
      <c r="P129" t="str">
        <f>IF(TBL_Employees[[#This Row],[Age]]&gt;50,"Senior","Junior")</f>
        <v>Senior</v>
      </c>
      <c r="Q129" s="14" t="str">
        <f>IF(OR(D129="IT", J129&gt;100000), "YES", "NO")</f>
        <v>YES</v>
      </c>
      <c r="R129" s="14">
        <f>YEAR(TBL_Employees[[#This Row],[Hire Date]])</f>
        <v>1992</v>
      </c>
    </row>
    <row r="130" spans="1:18" x14ac:dyDescent="0.35">
      <c r="A130" t="s">
        <v>332</v>
      </c>
      <c r="B130" t="s">
        <v>333</v>
      </c>
      <c r="C130" t="s">
        <v>176</v>
      </c>
      <c r="D130" t="s">
        <v>70</v>
      </c>
      <c r="E130" t="s">
        <v>36</v>
      </c>
      <c r="F130" t="s">
        <v>27</v>
      </c>
      <c r="G130" t="s">
        <v>28</v>
      </c>
      <c r="H130">
        <v>27</v>
      </c>
      <c r="I130" s="5">
        <v>43937</v>
      </c>
      <c r="J130" s="11">
        <v>71864</v>
      </c>
      <c r="K130" s="6">
        <v>0</v>
      </c>
      <c r="L130" t="s">
        <v>29</v>
      </c>
      <c r="M130" t="s">
        <v>135</v>
      </c>
      <c r="N130" s="5" t="s">
        <v>31</v>
      </c>
      <c r="O130">
        <f>TBL_Employees[[#This Row],[Bonus %]]*TBL_Employees[[#This Row],[Annual Salary]]</f>
        <v>0</v>
      </c>
      <c r="P130" t="str">
        <f>IF(TBL_Employees[[#This Row],[Age]]&gt;50,"Senior","Junior")</f>
        <v>Junior</v>
      </c>
      <c r="Q130" s="14" t="str">
        <f>IF(OR(D130="IT", J130&gt;100000), "YES", "NO")</f>
        <v>NO</v>
      </c>
      <c r="R130" s="14">
        <f>YEAR(TBL_Employees[[#This Row],[Hire Date]])</f>
        <v>2020</v>
      </c>
    </row>
    <row r="131" spans="1:18" x14ac:dyDescent="0.35">
      <c r="A131" t="s">
        <v>334</v>
      </c>
      <c r="B131" t="s">
        <v>335</v>
      </c>
      <c r="C131" t="s">
        <v>80</v>
      </c>
      <c r="D131" t="s">
        <v>35</v>
      </c>
      <c r="E131" t="s">
        <v>50</v>
      </c>
      <c r="F131" t="s">
        <v>19</v>
      </c>
      <c r="G131" t="s">
        <v>28</v>
      </c>
      <c r="H131">
        <v>37</v>
      </c>
      <c r="I131" s="5">
        <v>40883</v>
      </c>
      <c r="J131" s="11">
        <v>225558</v>
      </c>
      <c r="K131" s="6">
        <v>0.33</v>
      </c>
      <c r="L131" t="s">
        <v>29</v>
      </c>
      <c r="M131" t="s">
        <v>75</v>
      </c>
      <c r="N131" s="5" t="s">
        <v>31</v>
      </c>
      <c r="O131">
        <f>TBL_Employees[[#This Row],[Bonus %]]*TBL_Employees[[#This Row],[Annual Salary]]</f>
        <v>74434.14</v>
      </c>
      <c r="P131" t="str">
        <f>IF(TBL_Employees[[#This Row],[Age]]&gt;50,"Senior","Junior")</f>
        <v>Junior</v>
      </c>
      <c r="Q131" s="14" t="str">
        <f>IF(OR(D131="IT", J131&gt;100000), "YES", "NO")</f>
        <v>YES</v>
      </c>
      <c r="R131" s="14">
        <f>YEAR(TBL_Employees[[#This Row],[Hire Date]])</f>
        <v>2011</v>
      </c>
    </row>
    <row r="132" spans="1:18" x14ac:dyDescent="0.35">
      <c r="A132" t="s">
        <v>336</v>
      </c>
      <c r="B132" t="s">
        <v>337</v>
      </c>
      <c r="C132" t="s">
        <v>16</v>
      </c>
      <c r="D132" t="s">
        <v>17</v>
      </c>
      <c r="E132" t="s">
        <v>26</v>
      </c>
      <c r="F132" t="s">
        <v>27</v>
      </c>
      <c r="G132" t="s">
        <v>37</v>
      </c>
      <c r="H132">
        <v>37</v>
      </c>
      <c r="I132" s="5">
        <v>41695</v>
      </c>
      <c r="J132" s="11">
        <v>128984</v>
      </c>
      <c r="K132" s="6">
        <v>0.12</v>
      </c>
      <c r="L132" t="s">
        <v>21</v>
      </c>
      <c r="M132" t="s">
        <v>57</v>
      </c>
      <c r="N132" s="5">
        <v>44317</v>
      </c>
      <c r="O132">
        <f>TBL_Employees[[#This Row],[Bonus %]]*TBL_Employees[[#This Row],[Annual Salary]]</f>
        <v>15478.08</v>
      </c>
      <c r="P132" t="str">
        <f>IF(TBL_Employees[[#This Row],[Age]]&gt;50,"Senior","Junior")</f>
        <v>Junior</v>
      </c>
      <c r="Q132" s="14" t="str">
        <f>IF(OR(D132="IT", J132&gt;100000), "YES", "NO")</f>
        <v>YES</v>
      </c>
      <c r="R132" s="14">
        <f>YEAR(TBL_Employees[[#This Row],[Hire Date]])</f>
        <v>2014</v>
      </c>
    </row>
    <row r="133" spans="1:18" x14ac:dyDescent="0.35">
      <c r="A133" t="s">
        <v>338</v>
      </c>
      <c r="B133" t="s">
        <v>339</v>
      </c>
      <c r="C133" t="s">
        <v>176</v>
      </c>
      <c r="D133" t="s">
        <v>70</v>
      </c>
      <c r="E133" t="s">
        <v>36</v>
      </c>
      <c r="F133" t="s">
        <v>27</v>
      </c>
      <c r="G133" t="s">
        <v>86</v>
      </c>
      <c r="H133">
        <v>46</v>
      </c>
      <c r="I133" s="5">
        <v>36331</v>
      </c>
      <c r="J133" s="11">
        <v>96997</v>
      </c>
      <c r="K133" s="6">
        <v>0</v>
      </c>
      <c r="L133" t="s">
        <v>94</v>
      </c>
      <c r="M133" t="s">
        <v>219</v>
      </c>
      <c r="N133" s="5" t="s">
        <v>31</v>
      </c>
      <c r="O133">
        <f>TBL_Employees[[#This Row],[Bonus %]]*TBL_Employees[[#This Row],[Annual Salary]]</f>
        <v>0</v>
      </c>
      <c r="P133" t="str">
        <f>IF(TBL_Employees[[#This Row],[Age]]&gt;50,"Senior","Junior")</f>
        <v>Junior</v>
      </c>
      <c r="Q133" s="14" t="str">
        <f>IF(OR(D133="IT", J133&gt;100000), "YES", "NO")</f>
        <v>NO</v>
      </c>
      <c r="R133" s="14">
        <f>YEAR(TBL_Employees[[#This Row],[Hire Date]])</f>
        <v>1999</v>
      </c>
    </row>
    <row r="134" spans="1:18" x14ac:dyDescent="0.35">
      <c r="A134" t="s">
        <v>340</v>
      </c>
      <c r="B134" t="s">
        <v>341</v>
      </c>
      <c r="C134" t="s">
        <v>34</v>
      </c>
      <c r="D134" t="s">
        <v>66</v>
      </c>
      <c r="E134" t="s">
        <v>26</v>
      </c>
      <c r="F134" t="s">
        <v>19</v>
      </c>
      <c r="G134" t="s">
        <v>86</v>
      </c>
      <c r="H134">
        <v>54</v>
      </c>
      <c r="I134" s="5">
        <v>43122</v>
      </c>
      <c r="J134" s="11">
        <v>176294</v>
      </c>
      <c r="K134" s="6">
        <v>0.28000000000000003</v>
      </c>
      <c r="L134" t="s">
        <v>21</v>
      </c>
      <c r="M134" t="s">
        <v>61</v>
      </c>
      <c r="N134" s="5" t="s">
        <v>31</v>
      </c>
      <c r="O134">
        <f>TBL_Employees[[#This Row],[Bonus %]]*TBL_Employees[[#This Row],[Annual Salary]]</f>
        <v>49362.320000000007</v>
      </c>
      <c r="P134" t="str">
        <f>IF(TBL_Employees[[#This Row],[Age]]&gt;50,"Senior","Junior")</f>
        <v>Senior</v>
      </c>
      <c r="Q134" s="14" t="str">
        <f>IF(OR(D134="IT", J134&gt;100000), "YES", "NO")</f>
        <v>YES</v>
      </c>
      <c r="R134" s="14">
        <f>YEAR(TBL_Employees[[#This Row],[Hire Date]])</f>
        <v>2018</v>
      </c>
    </row>
    <row r="135" spans="1:18" x14ac:dyDescent="0.35">
      <c r="A135" t="s">
        <v>342</v>
      </c>
      <c r="B135" t="s">
        <v>343</v>
      </c>
      <c r="C135" t="s">
        <v>56</v>
      </c>
      <c r="D135" t="s">
        <v>49</v>
      </c>
      <c r="E135" t="s">
        <v>18</v>
      </c>
      <c r="F135" t="s">
        <v>19</v>
      </c>
      <c r="G135" t="s">
        <v>28</v>
      </c>
      <c r="H135">
        <v>30</v>
      </c>
      <c r="I135" s="5">
        <v>44241</v>
      </c>
      <c r="J135" s="11">
        <v>48340</v>
      </c>
      <c r="K135" s="6">
        <v>0</v>
      </c>
      <c r="L135" t="s">
        <v>29</v>
      </c>
      <c r="M135" t="s">
        <v>115</v>
      </c>
      <c r="N135" s="5" t="s">
        <v>31</v>
      </c>
      <c r="O135">
        <f>TBL_Employees[[#This Row],[Bonus %]]*TBL_Employees[[#This Row],[Annual Salary]]</f>
        <v>0</v>
      </c>
      <c r="P135" t="str">
        <f>IF(TBL_Employees[[#This Row],[Age]]&gt;50,"Senior","Junior")</f>
        <v>Junior</v>
      </c>
      <c r="Q135" s="14" t="str">
        <f>IF(OR(D135="IT", J135&gt;100000), "YES", "NO")</f>
        <v>NO</v>
      </c>
      <c r="R135" s="14">
        <f>YEAR(TBL_Employees[[#This Row],[Hire Date]])</f>
        <v>2021</v>
      </c>
    </row>
    <row r="136" spans="1:18" x14ac:dyDescent="0.35">
      <c r="A136" t="s">
        <v>344</v>
      </c>
      <c r="B136" t="s">
        <v>345</v>
      </c>
      <c r="C136" t="s">
        <v>80</v>
      </c>
      <c r="D136" t="s">
        <v>70</v>
      </c>
      <c r="E136" t="s">
        <v>50</v>
      </c>
      <c r="F136" t="s">
        <v>19</v>
      </c>
      <c r="G136" t="s">
        <v>86</v>
      </c>
      <c r="H136">
        <v>28</v>
      </c>
      <c r="I136" s="5">
        <v>42922</v>
      </c>
      <c r="J136" s="11">
        <v>240488</v>
      </c>
      <c r="K136" s="6">
        <v>0.4</v>
      </c>
      <c r="L136" t="s">
        <v>94</v>
      </c>
      <c r="M136" t="s">
        <v>100</v>
      </c>
      <c r="N136" s="5" t="s">
        <v>31</v>
      </c>
      <c r="O136">
        <f>TBL_Employees[[#This Row],[Bonus %]]*TBL_Employees[[#This Row],[Annual Salary]]</f>
        <v>96195.200000000012</v>
      </c>
      <c r="P136" t="str">
        <f>IF(TBL_Employees[[#This Row],[Age]]&gt;50,"Senior","Junior")</f>
        <v>Junior</v>
      </c>
      <c r="Q136" s="14" t="str">
        <f>IF(OR(D136="IT", J136&gt;100000), "YES", "NO")</f>
        <v>YES</v>
      </c>
      <c r="R136" s="14">
        <f>YEAR(TBL_Employees[[#This Row],[Hire Date]])</f>
        <v>2017</v>
      </c>
    </row>
    <row r="137" spans="1:18" x14ac:dyDescent="0.35">
      <c r="A137" t="s">
        <v>346</v>
      </c>
      <c r="B137" t="s">
        <v>347</v>
      </c>
      <c r="C137" t="s">
        <v>132</v>
      </c>
      <c r="D137" t="s">
        <v>17</v>
      </c>
      <c r="E137" t="s">
        <v>26</v>
      </c>
      <c r="F137" t="s">
        <v>27</v>
      </c>
      <c r="G137" t="s">
        <v>37</v>
      </c>
      <c r="H137">
        <v>40</v>
      </c>
      <c r="I137" s="5">
        <v>40565</v>
      </c>
      <c r="J137" s="11">
        <v>97339</v>
      </c>
      <c r="K137" s="6">
        <v>0</v>
      </c>
      <c r="L137" t="s">
        <v>21</v>
      </c>
      <c r="M137" t="s">
        <v>61</v>
      </c>
      <c r="N137" s="5" t="s">
        <v>31</v>
      </c>
      <c r="O137">
        <f>TBL_Employees[[#This Row],[Bonus %]]*TBL_Employees[[#This Row],[Annual Salary]]</f>
        <v>0</v>
      </c>
      <c r="P137" t="str">
        <f>IF(TBL_Employees[[#This Row],[Age]]&gt;50,"Senior","Junior")</f>
        <v>Junior</v>
      </c>
      <c r="Q137" s="14" t="str">
        <f>IF(OR(D137="IT", J137&gt;100000), "YES", "NO")</f>
        <v>YES</v>
      </c>
      <c r="R137" s="14">
        <f>YEAR(TBL_Employees[[#This Row],[Hire Date]])</f>
        <v>2011</v>
      </c>
    </row>
    <row r="138" spans="1:18" x14ac:dyDescent="0.35">
      <c r="A138" t="s">
        <v>348</v>
      </c>
      <c r="B138" t="s">
        <v>349</v>
      </c>
      <c r="C138" t="s">
        <v>80</v>
      </c>
      <c r="D138" t="s">
        <v>66</v>
      </c>
      <c r="E138" t="s">
        <v>26</v>
      </c>
      <c r="F138" t="s">
        <v>19</v>
      </c>
      <c r="G138" t="s">
        <v>28</v>
      </c>
      <c r="H138">
        <v>49</v>
      </c>
      <c r="I138" s="5">
        <v>37680</v>
      </c>
      <c r="J138" s="11">
        <v>211291</v>
      </c>
      <c r="K138" s="6">
        <v>0.37</v>
      </c>
      <c r="L138" t="s">
        <v>29</v>
      </c>
      <c r="M138" t="s">
        <v>30</v>
      </c>
      <c r="N138" s="5" t="s">
        <v>31</v>
      </c>
      <c r="O138">
        <f>TBL_Employees[[#This Row],[Bonus %]]*TBL_Employees[[#This Row],[Annual Salary]]</f>
        <v>78177.67</v>
      </c>
      <c r="P138" t="str">
        <f>IF(TBL_Employees[[#This Row],[Age]]&gt;50,"Senior","Junior")</f>
        <v>Junior</v>
      </c>
      <c r="Q138" s="14" t="str">
        <f>IF(OR(D138="IT", J138&gt;100000), "YES", "NO")</f>
        <v>YES</v>
      </c>
      <c r="R138" s="14">
        <f>YEAR(TBL_Employees[[#This Row],[Hire Date]])</f>
        <v>2003</v>
      </c>
    </row>
    <row r="139" spans="1:18" x14ac:dyDescent="0.35">
      <c r="A139" t="s">
        <v>350</v>
      </c>
      <c r="B139" t="s">
        <v>351</v>
      </c>
      <c r="C139" t="s">
        <v>80</v>
      </c>
      <c r="D139" t="s">
        <v>49</v>
      </c>
      <c r="E139" t="s">
        <v>18</v>
      </c>
      <c r="F139" t="s">
        <v>27</v>
      </c>
      <c r="G139" t="s">
        <v>86</v>
      </c>
      <c r="H139">
        <v>39</v>
      </c>
      <c r="I139" s="5">
        <v>40778</v>
      </c>
      <c r="J139" s="11">
        <v>249506</v>
      </c>
      <c r="K139" s="6">
        <v>0.3</v>
      </c>
      <c r="L139" t="s">
        <v>94</v>
      </c>
      <c r="M139" t="s">
        <v>100</v>
      </c>
      <c r="N139" s="5" t="s">
        <v>31</v>
      </c>
      <c r="O139">
        <f>TBL_Employees[[#This Row],[Bonus %]]*TBL_Employees[[#This Row],[Annual Salary]]</f>
        <v>74851.8</v>
      </c>
      <c r="P139" t="str">
        <f>IF(TBL_Employees[[#This Row],[Age]]&gt;50,"Senior","Junior")</f>
        <v>Junior</v>
      </c>
      <c r="Q139" s="14" t="str">
        <f>IF(OR(D139="IT", J139&gt;100000), "YES", "NO")</f>
        <v>YES</v>
      </c>
      <c r="R139" s="14">
        <f>YEAR(TBL_Employees[[#This Row],[Hire Date]])</f>
        <v>2011</v>
      </c>
    </row>
    <row r="140" spans="1:18" x14ac:dyDescent="0.35">
      <c r="A140" t="s">
        <v>352</v>
      </c>
      <c r="B140" t="s">
        <v>353</v>
      </c>
      <c r="C140" t="s">
        <v>109</v>
      </c>
      <c r="D140" t="s">
        <v>70</v>
      </c>
      <c r="E140" t="s">
        <v>36</v>
      </c>
      <c r="F140" t="s">
        <v>27</v>
      </c>
      <c r="G140" t="s">
        <v>28</v>
      </c>
      <c r="H140">
        <v>61</v>
      </c>
      <c r="I140" s="5">
        <v>37582</v>
      </c>
      <c r="J140" s="11">
        <v>80950</v>
      </c>
      <c r="K140" s="6">
        <v>0</v>
      </c>
      <c r="L140" t="s">
        <v>29</v>
      </c>
      <c r="M140" t="s">
        <v>30</v>
      </c>
      <c r="N140" s="5" t="s">
        <v>31</v>
      </c>
      <c r="O140">
        <f>TBL_Employees[[#This Row],[Bonus %]]*TBL_Employees[[#This Row],[Annual Salary]]</f>
        <v>0</v>
      </c>
      <c r="P140" t="str">
        <f>IF(TBL_Employees[[#This Row],[Age]]&gt;50,"Senior","Junior")</f>
        <v>Senior</v>
      </c>
      <c r="Q140" s="14" t="str">
        <f>IF(OR(D140="IT", J140&gt;100000), "YES", "NO")</f>
        <v>NO</v>
      </c>
      <c r="R140" s="14">
        <f>YEAR(TBL_Employees[[#This Row],[Hire Date]])</f>
        <v>2002</v>
      </c>
    </row>
    <row r="141" spans="1:18" x14ac:dyDescent="0.35">
      <c r="A141" t="s">
        <v>354</v>
      </c>
      <c r="B141" t="s">
        <v>355</v>
      </c>
      <c r="C141" t="s">
        <v>179</v>
      </c>
      <c r="D141" t="s">
        <v>70</v>
      </c>
      <c r="E141" t="s">
        <v>18</v>
      </c>
      <c r="F141" t="s">
        <v>19</v>
      </c>
      <c r="G141" t="s">
        <v>28</v>
      </c>
      <c r="H141">
        <v>46</v>
      </c>
      <c r="I141" s="5">
        <v>44206</v>
      </c>
      <c r="J141" s="11">
        <v>86538</v>
      </c>
      <c r="K141" s="6">
        <v>0</v>
      </c>
      <c r="L141" t="s">
        <v>29</v>
      </c>
      <c r="M141" t="s">
        <v>135</v>
      </c>
      <c r="N141" s="5" t="s">
        <v>31</v>
      </c>
      <c r="O141">
        <f>TBL_Employees[[#This Row],[Bonus %]]*TBL_Employees[[#This Row],[Annual Salary]]</f>
        <v>0</v>
      </c>
      <c r="P141" t="str">
        <f>IF(TBL_Employees[[#This Row],[Age]]&gt;50,"Senior","Junior")</f>
        <v>Junior</v>
      </c>
      <c r="Q141" s="14" t="str">
        <f>IF(OR(D141="IT", J141&gt;100000), "YES", "NO")</f>
        <v>NO</v>
      </c>
      <c r="R141" s="14">
        <f>YEAR(TBL_Employees[[#This Row],[Hire Date]])</f>
        <v>2021</v>
      </c>
    </row>
    <row r="142" spans="1:18" x14ac:dyDescent="0.35">
      <c r="A142" t="s">
        <v>356</v>
      </c>
      <c r="B142" t="s">
        <v>357</v>
      </c>
      <c r="C142" t="s">
        <v>44</v>
      </c>
      <c r="D142" t="s">
        <v>81</v>
      </c>
      <c r="E142" t="s">
        <v>36</v>
      </c>
      <c r="F142" t="s">
        <v>19</v>
      </c>
      <c r="G142" t="s">
        <v>37</v>
      </c>
      <c r="H142">
        <v>35</v>
      </c>
      <c r="I142" s="5">
        <v>43715</v>
      </c>
      <c r="J142" s="11">
        <v>70992</v>
      </c>
      <c r="K142" s="6">
        <v>0</v>
      </c>
      <c r="L142" t="s">
        <v>21</v>
      </c>
      <c r="M142" t="s">
        <v>61</v>
      </c>
      <c r="N142" s="5" t="s">
        <v>31</v>
      </c>
      <c r="O142">
        <f>TBL_Employees[[#This Row],[Bonus %]]*TBL_Employees[[#This Row],[Annual Salary]]</f>
        <v>0</v>
      </c>
      <c r="P142" t="str">
        <f>IF(TBL_Employees[[#This Row],[Age]]&gt;50,"Senior","Junior")</f>
        <v>Junior</v>
      </c>
      <c r="Q142" s="14" t="str">
        <f>IF(OR(D142="IT", J142&gt;100000), "YES", "NO")</f>
        <v>NO</v>
      </c>
      <c r="R142" s="14">
        <f>YEAR(TBL_Employees[[#This Row],[Hire Date]])</f>
        <v>2019</v>
      </c>
    </row>
    <row r="143" spans="1:18" x14ac:dyDescent="0.35">
      <c r="A143" t="s">
        <v>358</v>
      </c>
      <c r="B143" t="s">
        <v>359</v>
      </c>
      <c r="C143" t="s">
        <v>80</v>
      </c>
      <c r="D143" t="s">
        <v>70</v>
      </c>
      <c r="E143" t="s">
        <v>50</v>
      </c>
      <c r="F143" t="s">
        <v>27</v>
      </c>
      <c r="G143" t="s">
        <v>37</v>
      </c>
      <c r="H143">
        <v>33</v>
      </c>
      <c r="I143" s="5">
        <v>42173</v>
      </c>
      <c r="J143" s="11">
        <v>205314</v>
      </c>
      <c r="K143" s="6">
        <v>0.3</v>
      </c>
      <c r="L143" t="s">
        <v>21</v>
      </c>
      <c r="M143" t="s">
        <v>89</v>
      </c>
      <c r="N143" s="5" t="s">
        <v>31</v>
      </c>
      <c r="O143">
        <f>TBL_Employees[[#This Row],[Bonus %]]*TBL_Employees[[#This Row],[Annual Salary]]</f>
        <v>61594.2</v>
      </c>
      <c r="P143" t="str">
        <f>IF(TBL_Employees[[#This Row],[Age]]&gt;50,"Senior","Junior")</f>
        <v>Junior</v>
      </c>
      <c r="Q143" s="14" t="str">
        <f>IF(OR(D143="IT", J143&gt;100000), "YES", "NO")</f>
        <v>YES</v>
      </c>
      <c r="R143" s="14">
        <f>YEAR(TBL_Employees[[#This Row],[Hire Date]])</f>
        <v>2015</v>
      </c>
    </row>
    <row r="144" spans="1:18" x14ac:dyDescent="0.35">
      <c r="A144" t="s">
        <v>360</v>
      </c>
      <c r="B144" t="s">
        <v>361</v>
      </c>
      <c r="C144" t="s">
        <v>80</v>
      </c>
      <c r="D144" t="s">
        <v>66</v>
      </c>
      <c r="E144" t="s">
        <v>50</v>
      </c>
      <c r="F144" t="s">
        <v>19</v>
      </c>
      <c r="G144" t="s">
        <v>28</v>
      </c>
      <c r="H144">
        <v>61</v>
      </c>
      <c r="I144" s="5">
        <v>42804</v>
      </c>
      <c r="J144" s="11">
        <v>196951</v>
      </c>
      <c r="K144" s="6">
        <v>0.33</v>
      </c>
      <c r="L144" t="s">
        <v>29</v>
      </c>
      <c r="M144" t="s">
        <v>115</v>
      </c>
      <c r="N144" s="5" t="s">
        <v>31</v>
      </c>
      <c r="O144">
        <f>TBL_Employees[[#This Row],[Bonus %]]*TBL_Employees[[#This Row],[Annual Salary]]</f>
        <v>64993.83</v>
      </c>
      <c r="P144" t="str">
        <f>IF(TBL_Employees[[#This Row],[Age]]&gt;50,"Senior","Junior")</f>
        <v>Senior</v>
      </c>
      <c r="Q144" s="14" t="str">
        <f>IF(OR(D144="IT", J144&gt;100000), "YES", "NO")</f>
        <v>YES</v>
      </c>
      <c r="R144" s="14">
        <f>YEAR(TBL_Employees[[#This Row],[Hire Date]])</f>
        <v>2017</v>
      </c>
    </row>
    <row r="145" spans="1:18" x14ac:dyDescent="0.35">
      <c r="A145" t="s">
        <v>362</v>
      </c>
      <c r="B145" t="s">
        <v>363</v>
      </c>
      <c r="C145" t="s">
        <v>252</v>
      </c>
      <c r="D145" t="s">
        <v>17</v>
      </c>
      <c r="E145" t="s">
        <v>36</v>
      </c>
      <c r="F145" t="s">
        <v>27</v>
      </c>
      <c r="G145" t="s">
        <v>28</v>
      </c>
      <c r="H145">
        <v>45</v>
      </c>
      <c r="I145" s="5">
        <v>38613</v>
      </c>
      <c r="J145" s="11">
        <v>67686</v>
      </c>
      <c r="K145" s="6">
        <v>0</v>
      </c>
      <c r="L145" t="s">
        <v>29</v>
      </c>
      <c r="M145" t="s">
        <v>115</v>
      </c>
      <c r="N145" s="5" t="s">
        <v>31</v>
      </c>
      <c r="O145">
        <f>TBL_Employees[[#This Row],[Bonus %]]*TBL_Employees[[#This Row],[Annual Salary]]</f>
        <v>0</v>
      </c>
      <c r="P145" t="str">
        <f>IF(TBL_Employees[[#This Row],[Age]]&gt;50,"Senior","Junior")</f>
        <v>Junior</v>
      </c>
      <c r="Q145" s="14" t="str">
        <f>IF(OR(D145="IT", J145&gt;100000), "YES", "NO")</f>
        <v>YES</v>
      </c>
      <c r="R145" s="14">
        <f>YEAR(TBL_Employees[[#This Row],[Hire Date]])</f>
        <v>2005</v>
      </c>
    </row>
    <row r="146" spans="1:18" x14ac:dyDescent="0.35">
      <c r="A146" t="s">
        <v>364</v>
      </c>
      <c r="B146" t="s">
        <v>365</v>
      </c>
      <c r="C146" t="s">
        <v>25</v>
      </c>
      <c r="D146" t="s">
        <v>17</v>
      </c>
      <c r="E146" t="s">
        <v>18</v>
      </c>
      <c r="F146" t="s">
        <v>27</v>
      </c>
      <c r="G146" t="s">
        <v>86</v>
      </c>
      <c r="H146">
        <v>51</v>
      </c>
      <c r="I146" s="5">
        <v>39553</v>
      </c>
      <c r="J146" s="11">
        <v>86431</v>
      </c>
      <c r="K146" s="6">
        <v>0</v>
      </c>
      <c r="L146" t="s">
        <v>21</v>
      </c>
      <c r="M146" t="s">
        <v>89</v>
      </c>
      <c r="N146" s="5" t="s">
        <v>31</v>
      </c>
      <c r="O146">
        <f>TBL_Employees[[#This Row],[Bonus %]]*TBL_Employees[[#This Row],[Annual Salary]]</f>
        <v>0</v>
      </c>
      <c r="P146" t="str">
        <f>IF(TBL_Employees[[#This Row],[Age]]&gt;50,"Senior","Junior")</f>
        <v>Senior</v>
      </c>
      <c r="Q146" s="14" t="str">
        <f>IF(OR(D146="IT", J146&gt;100000), "YES", "NO")</f>
        <v>YES</v>
      </c>
      <c r="R146" s="14">
        <f>YEAR(TBL_Employees[[#This Row],[Hire Date]])</f>
        <v>2008</v>
      </c>
    </row>
    <row r="147" spans="1:18" x14ac:dyDescent="0.35">
      <c r="A147" t="s">
        <v>366</v>
      </c>
      <c r="B147" t="s">
        <v>367</v>
      </c>
      <c r="C147" t="s">
        <v>53</v>
      </c>
      <c r="D147" t="s">
        <v>66</v>
      </c>
      <c r="E147" t="s">
        <v>26</v>
      </c>
      <c r="F147" t="s">
        <v>27</v>
      </c>
      <c r="G147" t="s">
        <v>28</v>
      </c>
      <c r="H147">
        <v>55</v>
      </c>
      <c r="I147" s="5">
        <v>35019</v>
      </c>
      <c r="J147" s="11">
        <v>125936</v>
      </c>
      <c r="K147" s="6">
        <v>0.08</v>
      </c>
      <c r="L147" t="s">
        <v>29</v>
      </c>
      <c r="M147" t="s">
        <v>30</v>
      </c>
      <c r="N147" s="5" t="s">
        <v>31</v>
      </c>
      <c r="O147">
        <f>TBL_Employees[[#This Row],[Bonus %]]*TBL_Employees[[#This Row],[Annual Salary]]</f>
        <v>10074.880000000001</v>
      </c>
      <c r="P147" t="str">
        <f>IF(TBL_Employees[[#This Row],[Age]]&gt;50,"Senior","Junior")</f>
        <v>Senior</v>
      </c>
      <c r="Q147" s="14" t="str">
        <f>IF(OR(D147="IT", J147&gt;100000), "YES", "NO")</f>
        <v>YES</v>
      </c>
      <c r="R147" s="14">
        <f>YEAR(TBL_Employees[[#This Row],[Hire Date]])</f>
        <v>1995</v>
      </c>
    </row>
    <row r="148" spans="1:18" x14ac:dyDescent="0.35">
      <c r="A148" t="s">
        <v>368</v>
      </c>
      <c r="B148" t="s">
        <v>369</v>
      </c>
      <c r="C148" t="s">
        <v>16</v>
      </c>
      <c r="D148" t="s">
        <v>49</v>
      </c>
      <c r="E148" t="s">
        <v>50</v>
      </c>
      <c r="F148" t="s">
        <v>19</v>
      </c>
      <c r="G148" t="s">
        <v>37</v>
      </c>
      <c r="H148">
        <v>46</v>
      </c>
      <c r="I148" s="5">
        <v>41473</v>
      </c>
      <c r="J148" s="11">
        <v>149712</v>
      </c>
      <c r="K148" s="6">
        <v>0.14000000000000001</v>
      </c>
      <c r="L148" t="s">
        <v>21</v>
      </c>
      <c r="M148" t="s">
        <v>89</v>
      </c>
      <c r="N148" s="5" t="s">
        <v>31</v>
      </c>
      <c r="O148">
        <f>TBL_Employees[[#This Row],[Bonus %]]*TBL_Employees[[#This Row],[Annual Salary]]</f>
        <v>20959.68</v>
      </c>
      <c r="P148" t="str">
        <f>IF(TBL_Employees[[#This Row],[Age]]&gt;50,"Senior","Junior")</f>
        <v>Junior</v>
      </c>
      <c r="Q148" s="14" t="str">
        <f>IF(OR(D148="IT", J148&gt;100000), "YES", "NO")</f>
        <v>YES</v>
      </c>
      <c r="R148" s="14">
        <f>YEAR(TBL_Employees[[#This Row],[Hire Date]])</f>
        <v>2013</v>
      </c>
    </row>
    <row r="149" spans="1:18" x14ac:dyDescent="0.35">
      <c r="A149" t="s">
        <v>370</v>
      </c>
      <c r="B149" t="s">
        <v>371</v>
      </c>
      <c r="C149" t="s">
        <v>176</v>
      </c>
      <c r="D149" t="s">
        <v>70</v>
      </c>
      <c r="E149" t="s">
        <v>36</v>
      </c>
      <c r="F149" t="s">
        <v>27</v>
      </c>
      <c r="G149" t="s">
        <v>37</v>
      </c>
      <c r="H149">
        <v>30</v>
      </c>
      <c r="I149" s="5">
        <v>44471</v>
      </c>
      <c r="J149" s="11">
        <v>88758</v>
      </c>
      <c r="K149" s="6">
        <v>0</v>
      </c>
      <c r="L149" t="s">
        <v>21</v>
      </c>
      <c r="M149" t="s">
        <v>22</v>
      </c>
      <c r="N149" s="5" t="s">
        <v>31</v>
      </c>
      <c r="O149">
        <f>TBL_Employees[[#This Row],[Bonus %]]*TBL_Employees[[#This Row],[Annual Salary]]</f>
        <v>0</v>
      </c>
      <c r="P149" t="str">
        <f>IF(TBL_Employees[[#This Row],[Age]]&gt;50,"Senior","Junior")</f>
        <v>Junior</v>
      </c>
      <c r="Q149" s="14" t="str">
        <f>IF(OR(D149="IT", J149&gt;100000), "YES", "NO")</f>
        <v>NO</v>
      </c>
      <c r="R149" s="14">
        <f>YEAR(TBL_Employees[[#This Row],[Hire Date]])</f>
        <v>2021</v>
      </c>
    </row>
    <row r="150" spans="1:18" x14ac:dyDescent="0.35">
      <c r="A150" t="s">
        <v>211</v>
      </c>
      <c r="B150" t="s">
        <v>372</v>
      </c>
      <c r="C150" t="s">
        <v>373</v>
      </c>
      <c r="D150" t="s">
        <v>17</v>
      </c>
      <c r="E150" t="s">
        <v>18</v>
      </c>
      <c r="F150" t="s">
        <v>27</v>
      </c>
      <c r="G150" t="s">
        <v>28</v>
      </c>
      <c r="H150">
        <v>54</v>
      </c>
      <c r="I150" s="5">
        <v>41468</v>
      </c>
      <c r="J150" s="11">
        <v>83639</v>
      </c>
      <c r="K150" s="6">
        <v>0</v>
      </c>
      <c r="L150" t="s">
        <v>29</v>
      </c>
      <c r="M150" t="s">
        <v>115</v>
      </c>
      <c r="N150" s="5" t="s">
        <v>31</v>
      </c>
      <c r="O150">
        <f>TBL_Employees[[#This Row],[Bonus %]]*TBL_Employees[[#This Row],[Annual Salary]]</f>
        <v>0</v>
      </c>
      <c r="P150" t="str">
        <f>IF(TBL_Employees[[#This Row],[Age]]&gt;50,"Senior","Junior")</f>
        <v>Senior</v>
      </c>
      <c r="Q150" s="14" t="str">
        <f>IF(OR(D150="IT", J150&gt;100000), "YES", "NO")</f>
        <v>YES</v>
      </c>
      <c r="R150" s="14">
        <f>YEAR(TBL_Employees[[#This Row],[Hire Date]])</f>
        <v>2013</v>
      </c>
    </row>
    <row r="151" spans="1:18" x14ac:dyDescent="0.35">
      <c r="A151" t="s">
        <v>374</v>
      </c>
      <c r="B151" t="s">
        <v>375</v>
      </c>
      <c r="C151" t="s">
        <v>249</v>
      </c>
      <c r="D151" t="s">
        <v>17</v>
      </c>
      <c r="E151" t="s">
        <v>18</v>
      </c>
      <c r="F151" t="s">
        <v>19</v>
      </c>
      <c r="G151" t="s">
        <v>37</v>
      </c>
      <c r="H151">
        <v>54</v>
      </c>
      <c r="I151" s="5">
        <v>35933</v>
      </c>
      <c r="J151" s="11">
        <v>68268</v>
      </c>
      <c r="K151" s="6">
        <v>0</v>
      </c>
      <c r="L151" t="s">
        <v>21</v>
      </c>
      <c r="M151" t="s">
        <v>45</v>
      </c>
      <c r="N151" s="5" t="s">
        <v>31</v>
      </c>
      <c r="O151">
        <f>TBL_Employees[[#This Row],[Bonus %]]*TBL_Employees[[#This Row],[Annual Salary]]</f>
        <v>0</v>
      </c>
      <c r="P151" t="str">
        <f>IF(TBL_Employees[[#This Row],[Age]]&gt;50,"Senior","Junior")</f>
        <v>Senior</v>
      </c>
      <c r="Q151" s="14" t="str">
        <f>IF(OR(D151="IT", J151&gt;100000), "YES", "NO")</f>
        <v>YES</v>
      </c>
      <c r="R151" s="14">
        <f>YEAR(TBL_Employees[[#This Row],[Hire Date]])</f>
        <v>1998</v>
      </c>
    </row>
    <row r="152" spans="1:18" x14ac:dyDescent="0.35">
      <c r="A152" t="s">
        <v>376</v>
      </c>
      <c r="B152" t="s">
        <v>377</v>
      </c>
      <c r="C152" t="s">
        <v>176</v>
      </c>
      <c r="D152" t="s">
        <v>70</v>
      </c>
      <c r="E152" t="s">
        <v>26</v>
      </c>
      <c r="F152" t="s">
        <v>27</v>
      </c>
      <c r="G152" t="s">
        <v>86</v>
      </c>
      <c r="H152">
        <v>45</v>
      </c>
      <c r="I152" s="5">
        <v>37313</v>
      </c>
      <c r="J152" s="11">
        <v>75819</v>
      </c>
      <c r="K152" s="6">
        <v>0</v>
      </c>
      <c r="L152" t="s">
        <v>94</v>
      </c>
      <c r="M152" t="s">
        <v>219</v>
      </c>
      <c r="N152" s="5" t="s">
        <v>31</v>
      </c>
      <c r="O152">
        <f>TBL_Employees[[#This Row],[Bonus %]]*TBL_Employees[[#This Row],[Annual Salary]]</f>
        <v>0</v>
      </c>
      <c r="P152" t="str">
        <f>IF(TBL_Employees[[#This Row],[Age]]&gt;50,"Senior","Junior")</f>
        <v>Junior</v>
      </c>
      <c r="Q152" s="14" t="str">
        <f>IF(OR(D152="IT", J152&gt;100000), "YES", "NO")</f>
        <v>NO</v>
      </c>
      <c r="R152" s="14">
        <f>YEAR(TBL_Employees[[#This Row],[Hire Date]])</f>
        <v>2002</v>
      </c>
    </row>
    <row r="153" spans="1:18" x14ac:dyDescent="0.35">
      <c r="A153" t="s">
        <v>378</v>
      </c>
      <c r="B153" t="s">
        <v>379</v>
      </c>
      <c r="C153" t="s">
        <v>44</v>
      </c>
      <c r="D153" t="s">
        <v>49</v>
      </c>
      <c r="E153" t="s">
        <v>36</v>
      </c>
      <c r="F153" t="s">
        <v>19</v>
      </c>
      <c r="G153" t="s">
        <v>37</v>
      </c>
      <c r="H153">
        <v>49</v>
      </c>
      <c r="I153" s="5">
        <v>35200</v>
      </c>
      <c r="J153" s="11">
        <v>86658</v>
      </c>
      <c r="K153" s="6">
        <v>0</v>
      </c>
      <c r="L153" t="s">
        <v>21</v>
      </c>
      <c r="M153" t="s">
        <v>45</v>
      </c>
      <c r="N153" s="5" t="s">
        <v>31</v>
      </c>
      <c r="O153">
        <f>TBL_Employees[[#This Row],[Bonus %]]*TBL_Employees[[#This Row],[Annual Salary]]</f>
        <v>0</v>
      </c>
      <c r="P153" t="str">
        <f>IF(TBL_Employees[[#This Row],[Age]]&gt;50,"Senior","Junior")</f>
        <v>Junior</v>
      </c>
      <c r="Q153" s="14" t="str">
        <f>IF(OR(D153="IT", J153&gt;100000), "YES", "NO")</f>
        <v>NO</v>
      </c>
      <c r="R153" s="14">
        <f>YEAR(TBL_Employees[[#This Row],[Hire Date]])</f>
        <v>1996</v>
      </c>
    </row>
    <row r="154" spans="1:18" x14ac:dyDescent="0.35">
      <c r="A154" t="s">
        <v>380</v>
      </c>
      <c r="B154" t="s">
        <v>381</v>
      </c>
      <c r="C154" t="s">
        <v>125</v>
      </c>
      <c r="D154" t="s">
        <v>35</v>
      </c>
      <c r="E154" t="s">
        <v>18</v>
      </c>
      <c r="F154" t="s">
        <v>27</v>
      </c>
      <c r="G154" t="s">
        <v>28</v>
      </c>
      <c r="H154">
        <v>55</v>
      </c>
      <c r="I154" s="5">
        <v>41714</v>
      </c>
      <c r="J154" s="11">
        <v>74552</v>
      </c>
      <c r="K154" s="6">
        <v>0</v>
      </c>
      <c r="L154" t="s">
        <v>29</v>
      </c>
      <c r="M154" t="s">
        <v>135</v>
      </c>
      <c r="N154" s="5" t="s">
        <v>31</v>
      </c>
      <c r="O154">
        <f>TBL_Employees[[#This Row],[Bonus %]]*TBL_Employees[[#This Row],[Annual Salary]]</f>
        <v>0</v>
      </c>
      <c r="P154" t="str">
        <f>IF(TBL_Employees[[#This Row],[Age]]&gt;50,"Senior","Junior")</f>
        <v>Senior</v>
      </c>
      <c r="Q154" s="14" t="str">
        <f>IF(OR(D154="IT", J154&gt;100000), "YES", "NO")</f>
        <v>NO</v>
      </c>
      <c r="R154" s="14">
        <f>YEAR(TBL_Employees[[#This Row],[Hire Date]])</f>
        <v>2014</v>
      </c>
    </row>
    <row r="155" spans="1:18" x14ac:dyDescent="0.35">
      <c r="A155" t="s">
        <v>382</v>
      </c>
      <c r="B155" t="s">
        <v>383</v>
      </c>
      <c r="C155" t="s">
        <v>132</v>
      </c>
      <c r="D155" t="s">
        <v>17</v>
      </c>
      <c r="E155" t="s">
        <v>26</v>
      </c>
      <c r="F155" t="s">
        <v>19</v>
      </c>
      <c r="G155" t="s">
        <v>28</v>
      </c>
      <c r="H155">
        <v>62</v>
      </c>
      <c r="I155" s="5">
        <v>39887</v>
      </c>
      <c r="J155" s="11">
        <v>82839</v>
      </c>
      <c r="K155" s="6">
        <v>0</v>
      </c>
      <c r="L155" t="s">
        <v>21</v>
      </c>
      <c r="M155" t="s">
        <v>57</v>
      </c>
      <c r="N155" s="5" t="s">
        <v>31</v>
      </c>
      <c r="O155">
        <f>TBL_Employees[[#This Row],[Bonus %]]*TBL_Employees[[#This Row],[Annual Salary]]</f>
        <v>0</v>
      </c>
      <c r="P155" t="str">
        <f>IF(TBL_Employees[[#This Row],[Age]]&gt;50,"Senior","Junior")</f>
        <v>Senior</v>
      </c>
      <c r="Q155" s="14" t="str">
        <f>IF(OR(D155="IT", J155&gt;100000), "YES", "NO")</f>
        <v>YES</v>
      </c>
      <c r="R155" s="14">
        <f>YEAR(TBL_Employees[[#This Row],[Hire Date]])</f>
        <v>2009</v>
      </c>
    </row>
    <row r="156" spans="1:18" x14ac:dyDescent="0.35">
      <c r="A156" t="s">
        <v>384</v>
      </c>
      <c r="B156" t="s">
        <v>385</v>
      </c>
      <c r="C156" t="s">
        <v>249</v>
      </c>
      <c r="D156" t="s">
        <v>17</v>
      </c>
      <c r="E156" t="s">
        <v>36</v>
      </c>
      <c r="F156" t="s">
        <v>19</v>
      </c>
      <c r="G156" t="s">
        <v>37</v>
      </c>
      <c r="H156">
        <v>28</v>
      </c>
      <c r="I156" s="5">
        <v>44477</v>
      </c>
      <c r="J156" s="11">
        <v>64475</v>
      </c>
      <c r="K156" s="6">
        <v>0</v>
      </c>
      <c r="L156" t="s">
        <v>21</v>
      </c>
      <c r="M156" t="s">
        <v>45</v>
      </c>
      <c r="N156" s="5" t="s">
        <v>31</v>
      </c>
      <c r="O156">
        <f>TBL_Employees[[#This Row],[Bonus %]]*TBL_Employees[[#This Row],[Annual Salary]]</f>
        <v>0</v>
      </c>
      <c r="P156" t="str">
        <f>IF(TBL_Employees[[#This Row],[Age]]&gt;50,"Senior","Junior")</f>
        <v>Junior</v>
      </c>
      <c r="Q156" s="14" t="str">
        <f>IF(OR(D156="IT", J156&gt;100000), "YES", "NO")</f>
        <v>YES</v>
      </c>
      <c r="R156" s="14">
        <f>YEAR(TBL_Employees[[#This Row],[Hire Date]])</f>
        <v>2021</v>
      </c>
    </row>
    <row r="157" spans="1:18" x14ac:dyDescent="0.35">
      <c r="A157" t="s">
        <v>386</v>
      </c>
      <c r="B157" t="s">
        <v>387</v>
      </c>
      <c r="C157" t="s">
        <v>249</v>
      </c>
      <c r="D157" t="s">
        <v>17</v>
      </c>
      <c r="E157" t="s">
        <v>26</v>
      </c>
      <c r="F157" t="s">
        <v>27</v>
      </c>
      <c r="G157" t="s">
        <v>28</v>
      </c>
      <c r="H157">
        <v>33</v>
      </c>
      <c r="I157" s="5">
        <v>44036</v>
      </c>
      <c r="J157" s="11">
        <v>69453</v>
      </c>
      <c r="K157" s="6">
        <v>0</v>
      </c>
      <c r="L157" t="s">
        <v>29</v>
      </c>
      <c r="M157" t="s">
        <v>135</v>
      </c>
      <c r="N157" s="5" t="s">
        <v>31</v>
      </c>
      <c r="O157">
        <f>TBL_Employees[[#This Row],[Bonus %]]*TBL_Employees[[#This Row],[Annual Salary]]</f>
        <v>0</v>
      </c>
      <c r="P157" t="str">
        <f>IF(TBL_Employees[[#This Row],[Age]]&gt;50,"Senior","Junior")</f>
        <v>Junior</v>
      </c>
      <c r="Q157" s="14" t="str">
        <f>IF(OR(D157="IT", J157&gt;100000), "YES", "NO")</f>
        <v>YES</v>
      </c>
      <c r="R157" s="14">
        <f>YEAR(TBL_Employees[[#This Row],[Hire Date]])</f>
        <v>2020</v>
      </c>
    </row>
    <row r="158" spans="1:18" x14ac:dyDescent="0.35">
      <c r="A158" t="s">
        <v>388</v>
      </c>
      <c r="B158" t="s">
        <v>389</v>
      </c>
      <c r="C158" t="s">
        <v>53</v>
      </c>
      <c r="D158" t="s">
        <v>17</v>
      </c>
      <c r="E158" t="s">
        <v>50</v>
      </c>
      <c r="F158" t="s">
        <v>27</v>
      </c>
      <c r="G158" t="s">
        <v>37</v>
      </c>
      <c r="H158">
        <v>32</v>
      </c>
      <c r="I158" s="5">
        <v>41642</v>
      </c>
      <c r="J158" s="11">
        <v>127148</v>
      </c>
      <c r="K158" s="6">
        <v>0.1</v>
      </c>
      <c r="L158" t="s">
        <v>21</v>
      </c>
      <c r="M158" t="s">
        <v>57</v>
      </c>
      <c r="N158" s="5" t="s">
        <v>31</v>
      </c>
      <c r="O158">
        <f>TBL_Employees[[#This Row],[Bonus %]]*TBL_Employees[[#This Row],[Annual Salary]]</f>
        <v>12714.800000000001</v>
      </c>
      <c r="P158" t="str">
        <f>IF(TBL_Employees[[#This Row],[Age]]&gt;50,"Senior","Junior")</f>
        <v>Junior</v>
      </c>
      <c r="Q158" s="14" t="str">
        <f>IF(OR(D158="IT", J158&gt;100000), "YES", "NO")</f>
        <v>YES</v>
      </c>
      <c r="R158" s="14">
        <f>YEAR(TBL_Employees[[#This Row],[Hire Date]])</f>
        <v>2014</v>
      </c>
    </row>
    <row r="159" spans="1:18" x14ac:dyDescent="0.35">
      <c r="A159" t="s">
        <v>390</v>
      </c>
      <c r="B159" t="s">
        <v>391</v>
      </c>
      <c r="C159" t="s">
        <v>80</v>
      </c>
      <c r="D159" t="s">
        <v>35</v>
      </c>
      <c r="E159" t="s">
        <v>36</v>
      </c>
      <c r="F159" t="s">
        <v>19</v>
      </c>
      <c r="G159" t="s">
        <v>37</v>
      </c>
      <c r="H159">
        <v>32</v>
      </c>
      <c r="I159" s="5">
        <v>43102</v>
      </c>
      <c r="J159" s="11">
        <v>190253</v>
      </c>
      <c r="K159" s="6">
        <v>0.33</v>
      </c>
      <c r="L159" t="s">
        <v>21</v>
      </c>
      <c r="M159" t="s">
        <v>61</v>
      </c>
      <c r="N159" s="5" t="s">
        <v>31</v>
      </c>
      <c r="O159">
        <f>TBL_Employees[[#This Row],[Bonus %]]*TBL_Employees[[#This Row],[Annual Salary]]</f>
        <v>62783.490000000005</v>
      </c>
      <c r="P159" t="str">
        <f>IF(TBL_Employees[[#This Row],[Age]]&gt;50,"Senior","Junior")</f>
        <v>Junior</v>
      </c>
      <c r="Q159" s="14" t="str">
        <f>IF(OR(D159="IT", J159&gt;100000), "YES", "NO")</f>
        <v>YES</v>
      </c>
      <c r="R159" s="14">
        <f>YEAR(TBL_Employees[[#This Row],[Hire Date]])</f>
        <v>2018</v>
      </c>
    </row>
    <row r="160" spans="1:18" x14ac:dyDescent="0.35">
      <c r="A160" t="s">
        <v>229</v>
      </c>
      <c r="B160" t="s">
        <v>392</v>
      </c>
      <c r="C160" t="s">
        <v>53</v>
      </c>
      <c r="D160" t="s">
        <v>60</v>
      </c>
      <c r="E160" t="s">
        <v>18</v>
      </c>
      <c r="F160" t="s">
        <v>27</v>
      </c>
      <c r="G160" t="s">
        <v>37</v>
      </c>
      <c r="H160">
        <v>55</v>
      </c>
      <c r="I160" s="5">
        <v>36644</v>
      </c>
      <c r="J160" s="11">
        <v>115798</v>
      </c>
      <c r="K160" s="6">
        <v>0.05</v>
      </c>
      <c r="L160" t="s">
        <v>21</v>
      </c>
      <c r="M160" t="s">
        <v>57</v>
      </c>
      <c r="N160" s="5" t="s">
        <v>31</v>
      </c>
      <c r="O160">
        <f>TBL_Employees[[#This Row],[Bonus %]]*TBL_Employees[[#This Row],[Annual Salary]]</f>
        <v>5789.9000000000005</v>
      </c>
      <c r="P160" t="str">
        <f>IF(TBL_Employees[[#This Row],[Age]]&gt;50,"Senior","Junior")</f>
        <v>Senior</v>
      </c>
      <c r="Q160" s="14" t="str">
        <f>IF(OR(D160="IT", J160&gt;100000), "YES", "NO")</f>
        <v>YES</v>
      </c>
      <c r="R160" s="14">
        <f>YEAR(TBL_Employees[[#This Row],[Hire Date]])</f>
        <v>2000</v>
      </c>
    </row>
    <row r="161" spans="1:18" x14ac:dyDescent="0.35">
      <c r="A161" t="s">
        <v>247</v>
      </c>
      <c r="B161" t="s">
        <v>393</v>
      </c>
      <c r="C161" t="s">
        <v>144</v>
      </c>
      <c r="D161" t="s">
        <v>66</v>
      </c>
      <c r="E161" t="s">
        <v>18</v>
      </c>
      <c r="F161" t="s">
        <v>19</v>
      </c>
      <c r="G161" t="s">
        <v>28</v>
      </c>
      <c r="H161">
        <v>58</v>
      </c>
      <c r="I161" s="5">
        <v>34567</v>
      </c>
      <c r="J161" s="11">
        <v>93102</v>
      </c>
      <c r="K161" s="6">
        <v>0</v>
      </c>
      <c r="L161" t="s">
        <v>21</v>
      </c>
      <c r="M161" t="s">
        <v>22</v>
      </c>
      <c r="N161" s="5">
        <v>41621</v>
      </c>
      <c r="O161">
        <f>TBL_Employees[[#This Row],[Bonus %]]*TBL_Employees[[#This Row],[Annual Salary]]</f>
        <v>0</v>
      </c>
      <c r="P161" t="str">
        <f>IF(TBL_Employees[[#This Row],[Age]]&gt;50,"Senior","Junior")</f>
        <v>Senior</v>
      </c>
      <c r="Q161" s="14" t="str">
        <f>IF(OR(D161="IT", J161&gt;100000), "YES", "NO")</f>
        <v>NO</v>
      </c>
      <c r="R161" s="14">
        <f>YEAR(TBL_Employees[[#This Row],[Hire Date]])</f>
        <v>1994</v>
      </c>
    </row>
    <row r="162" spans="1:18" x14ac:dyDescent="0.35">
      <c r="A162" t="s">
        <v>394</v>
      </c>
      <c r="B162" t="s">
        <v>395</v>
      </c>
      <c r="C162" t="s">
        <v>114</v>
      </c>
      <c r="D162" t="s">
        <v>70</v>
      </c>
      <c r="E162" t="s">
        <v>36</v>
      </c>
      <c r="F162" t="s">
        <v>27</v>
      </c>
      <c r="G162" t="s">
        <v>28</v>
      </c>
      <c r="H162">
        <v>34</v>
      </c>
      <c r="I162" s="5">
        <v>43055</v>
      </c>
      <c r="J162" s="11">
        <v>110054</v>
      </c>
      <c r="K162" s="6">
        <v>0.15</v>
      </c>
      <c r="L162" t="s">
        <v>21</v>
      </c>
      <c r="M162" t="s">
        <v>57</v>
      </c>
      <c r="N162" s="5" t="s">
        <v>31</v>
      </c>
      <c r="O162">
        <f>TBL_Employees[[#This Row],[Bonus %]]*TBL_Employees[[#This Row],[Annual Salary]]</f>
        <v>16508.099999999999</v>
      </c>
      <c r="P162" t="str">
        <f>IF(TBL_Employees[[#This Row],[Age]]&gt;50,"Senior","Junior")</f>
        <v>Junior</v>
      </c>
      <c r="Q162" s="14" t="str">
        <f>IF(OR(D162="IT", J162&gt;100000), "YES", "NO")</f>
        <v>YES</v>
      </c>
      <c r="R162" s="14">
        <f>YEAR(TBL_Employees[[#This Row],[Hire Date]])</f>
        <v>2017</v>
      </c>
    </row>
    <row r="163" spans="1:18" x14ac:dyDescent="0.35">
      <c r="A163" t="s">
        <v>396</v>
      </c>
      <c r="B163" t="s">
        <v>397</v>
      </c>
      <c r="C163" t="s">
        <v>109</v>
      </c>
      <c r="D163" t="s">
        <v>70</v>
      </c>
      <c r="E163" t="s">
        <v>18</v>
      </c>
      <c r="F163" t="s">
        <v>19</v>
      </c>
      <c r="G163" t="s">
        <v>20</v>
      </c>
      <c r="H163">
        <v>27</v>
      </c>
      <c r="I163" s="5">
        <v>44224</v>
      </c>
      <c r="J163" s="11">
        <v>95786</v>
      </c>
      <c r="K163" s="6">
        <v>0</v>
      </c>
      <c r="L163" t="s">
        <v>21</v>
      </c>
      <c r="M163" t="s">
        <v>38</v>
      </c>
      <c r="N163" s="5" t="s">
        <v>31</v>
      </c>
      <c r="O163">
        <f>TBL_Employees[[#This Row],[Bonus %]]*TBL_Employees[[#This Row],[Annual Salary]]</f>
        <v>0</v>
      </c>
      <c r="P163" t="str">
        <f>IF(TBL_Employees[[#This Row],[Age]]&gt;50,"Senior","Junior")</f>
        <v>Junior</v>
      </c>
      <c r="Q163" s="14" t="str">
        <f>IF(OR(D163="IT", J163&gt;100000), "YES", "NO")</f>
        <v>NO</v>
      </c>
      <c r="R163" s="14">
        <f>YEAR(TBL_Employees[[#This Row],[Hire Date]])</f>
        <v>2021</v>
      </c>
    </row>
    <row r="164" spans="1:18" x14ac:dyDescent="0.35">
      <c r="A164" t="s">
        <v>398</v>
      </c>
      <c r="B164" t="s">
        <v>399</v>
      </c>
      <c r="C164" t="s">
        <v>44</v>
      </c>
      <c r="D164" t="s">
        <v>49</v>
      </c>
      <c r="E164" t="s">
        <v>36</v>
      </c>
      <c r="F164" t="s">
        <v>27</v>
      </c>
      <c r="G164" t="s">
        <v>86</v>
      </c>
      <c r="H164">
        <v>61</v>
      </c>
      <c r="I164" s="5">
        <v>42858</v>
      </c>
      <c r="J164" s="11">
        <v>90855</v>
      </c>
      <c r="K164" s="6">
        <v>0</v>
      </c>
      <c r="L164" t="s">
        <v>94</v>
      </c>
      <c r="M164" t="s">
        <v>219</v>
      </c>
      <c r="N164" s="5" t="s">
        <v>31</v>
      </c>
      <c r="O164">
        <f>TBL_Employees[[#This Row],[Bonus %]]*TBL_Employees[[#This Row],[Annual Salary]]</f>
        <v>0</v>
      </c>
      <c r="P164" t="str">
        <f>IF(TBL_Employees[[#This Row],[Age]]&gt;50,"Senior","Junior")</f>
        <v>Senior</v>
      </c>
      <c r="Q164" s="14" t="str">
        <f>IF(OR(D164="IT", J164&gt;100000), "YES", "NO")</f>
        <v>NO</v>
      </c>
      <c r="R164" s="14">
        <f>YEAR(TBL_Employees[[#This Row],[Hire Date]])</f>
        <v>2017</v>
      </c>
    </row>
    <row r="165" spans="1:18" x14ac:dyDescent="0.35">
      <c r="A165" t="s">
        <v>400</v>
      </c>
      <c r="B165" t="s">
        <v>401</v>
      </c>
      <c r="C165" t="s">
        <v>132</v>
      </c>
      <c r="D165" t="s">
        <v>17</v>
      </c>
      <c r="E165" t="s">
        <v>26</v>
      </c>
      <c r="F165" t="s">
        <v>27</v>
      </c>
      <c r="G165" t="s">
        <v>86</v>
      </c>
      <c r="H165">
        <v>47</v>
      </c>
      <c r="I165" s="5">
        <v>36233</v>
      </c>
      <c r="J165" s="11">
        <v>92897</v>
      </c>
      <c r="K165" s="6">
        <v>0</v>
      </c>
      <c r="L165" t="s">
        <v>94</v>
      </c>
      <c r="M165" t="s">
        <v>219</v>
      </c>
      <c r="N165" s="5" t="s">
        <v>31</v>
      </c>
      <c r="O165">
        <f>TBL_Employees[[#This Row],[Bonus %]]*TBL_Employees[[#This Row],[Annual Salary]]</f>
        <v>0</v>
      </c>
      <c r="P165" t="str">
        <f>IF(TBL_Employees[[#This Row],[Age]]&gt;50,"Senior","Junior")</f>
        <v>Junior</v>
      </c>
      <c r="Q165" s="14" t="str">
        <f>IF(OR(D165="IT", J165&gt;100000), "YES", "NO")</f>
        <v>YES</v>
      </c>
      <c r="R165" s="14">
        <f>YEAR(TBL_Employees[[#This Row],[Hire Date]])</f>
        <v>1999</v>
      </c>
    </row>
    <row r="166" spans="1:18" x14ac:dyDescent="0.35">
      <c r="A166" t="s">
        <v>402</v>
      </c>
      <c r="B166" t="s">
        <v>403</v>
      </c>
      <c r="C166" t="s">
        <v>80</v>
      </c>
      <c r="D166" t="s">
        <v>81</v>
      </c>
      <c r="E166" t="s">
        <v>36</v>
      </c>
      <c r="F166" t="s">
        <v>27</v>
      </c>
      <c r="G166" t="s">
        <v>28</v>
      </c>
      <c r="H166">
        <v>40</v>
      </c>
      <c r="I166" s="5">
        <v>39872</v>
      </c>
      <c r="J166" s="11">
        <v>242919</v>
      </c>
      <c r="K166" s="6">
        <v>0.31</v>
      </c>
      <c r="L166" t="s">
        <v>29</v>
      </c>
      <c r="M166" t="s">
        <v>30</v>
      </c>
      <c r="N166" s="5" t="s">
        <v>31</v>
      </c>
      <c r="O166">
        <f>TBL_Employees[[#This Row],[Bonus %]]*TBL_Employees[[#This Row],[Annual Salary]]</f>
        <v>75304.89</v>
      </c>
      <c r="P166" t="str">
        <f>IF(TBL_Employees[[#This Row],[Age]]&gt;50,"Senior","Junior")</f>
        <v>Junior</v>
      </c>
      <c r="Q166" s="14" t="str">
        <f>IF(OR(D166="IT", J166&gt;100000), "YES", "NO")</f>
        <v>YES</v>
      </c>
      <c r="R166" s="14">
        <f>YEAR(TBL_Employees[[#This Row],[Hire Date]])</f>
        <v>2009</v>
      </c>
    </row>
    <row r="167" spans="1:18" x14ac:dyDescent="0.35">
      <c r="A167" t="s">
        <v>404</v>
      </c>
      <c r="B167" t="s">
        <v>405</v>
      </c>
      <c r="C167" t="s">
        <v>34</v>
      </c>
      <c r="D167" t="s">
        <v>70</v>
      </c>
      <c r="E167" t="s">
        <v>36</v>
      </c>
      <c r="F167" t="s">
        <v>27</v>
      </c>
      <c r="G167" t="s">
        <v>37</v>
      </c>
      <c r="H167">
        <v>30</v>
      </c>
      <c r="I167" s="5">
        <v>43240</v>
      </c>
      <c r="J167" s="11">
        <v>184368</v>
      </c>
      <c r="K167" s="6">
        <v>0.28999999999999998</v>
      </c>
      <c r="L167" t="s">
        <v>21</v>
      </c>
      <c r="M167" t="s">
        <v>61</v>
      </c>
      <c r="N167" s="5" t="s">
        <v>31</v>
      </c>
      <c r="O167">
        <f>TBL_Employees[[#This Row],[Bonus %]]*TBL_Employees[[#This Row],[Annual Salary]]</f>
        <v>53466.719999999994</v>
      </c>
      <c r="P167" t="str">
        <f>IF(TBL_Employees[[#This Row],[Age]]&gt;50,"Senior","Junior")</f>
        <v>Junior</v>
      </c>
      <c r="Q167" s="14" t="str">
        <f>IF(OR(D167="IT", J167&gt;100000), "YES", "NO")</f>
        <v>YES</v>
      </c>
      <c r="R167" s="14">
        <f>YEAR(TBL_Employees[[#This Row],[Hire Date]])</f>
        <v>2018</v>
      </c>
    </row>
    <row r="168" spans="1:18" x14ac:dyDescent="0.35">
      <c r="A168" t="s">
        <v>406</v>
      </c>
      <c r="B168" t="s">
        <v>407</v>
      </c>
      <c r="C168" t="s">
        <v>16</v>
      </c>
      <c r="D168" t="s">
        <v>35</v>
      </c>
      <c r="E168" t="s">
        <v>50</v>
      </c>
      <c r="F168" t="s">
        <v>27</v>
      </c>
      <c r="G168" t="s">
        <v>86</v>
      </c>
      <c r="H168">
        <v>45</v>
      </c>
      <c r="I168" s="5">
        <v>44554</v>
      </c>
      <c r="J168" s="11">
        <v>144754</v>
      </c>
      <c r="K168" s="6">
        <v>0.15</v>
      </c>
      <c r="L168" t="s">
        <v>21</v>
      </c>
      <c r="M168" t="s">
        <v>45</v>
      </c>
      <c r="N168" s="5" t="s">
        <v>31</v>
      </c>
      <c r="O168">
        <f>TBL_Employees[[#This Row],[Bonus %]]*TBL_Employees[[#This Row],[Annual Salary]]</f>
        <v>21713.1</v>
      </c>
      <c r="P168" t="str">
        <f>IF(TBL_Employees[[#This Row],[Age]]&gt;50,"Senior","Junior")</f>
        <v>Junior</v>
      </c>
      <c r="Q168" s="14" t="str">
        <f>IF(OR(D168="IT", J168&gt;100000), "YES", "NO")</f>
        <v>YES</v>
      </c>
      <c r="R168" s="14">
        <f>YEAR(TBL_Employees[[#This Row],[Hire Date]])</f>
        <v>2021</v>
      </c>
    </row>
    <row r="169" spans="1:18" x14ac:dyDescent="0.35">
      <c r="A169" t="s">
        <v>408</v>
      </c>
      <c r="B169" t="s">
        <v>409</v>
      </c>
      <c r="C169" t="s">
        <v>295</v>
      </c>
      <c r="D169" t="s">
        <v>49</v>
      </c>
      <c r="E169" t="s">
        <v>18</v>
      </c>
      <c r="F169" t="s">
        <v>19</v>
      </c>
      <c r="G169" t="s">
        <v>37</v>
      </c>
      <c r="H169">
        <v>30</v>
      </c>
      <c r="I169" s="5">
        <v>42722</v>
      </c>
      <c r="J169" s="11">
        <v>89458</v>
      </c>
      <c r="K169" s="6">
        <v>0</v>
      </c>
      <c r="L169" t="s">
        <v>21</v>
      </c>
      <c r="M169" t="s">
        <v>61</v>
      </c>
      <c r="N169" s="5" t="s">
        <v>31</v>
      </c>
      <c r="O169">
        <f>TBL_Employees[[#This Row],[Bonus %]]*TBL_Employees[[#This Row],[Annual Salary]]</f>
        <v>0</v>
      </c>
      <c r="P169" t="str">
        <f>IF(TBL_Employees[[#This Row],[Age]]&gt;50,"Senior","Junior")</f>
        <v>Junior</v>
      </c>
      <c r="Q169" s="14" t="str">
        <f>IF(OR(D169="IT", J169&gt;100000), "YES", "NO")</f>
        <v>NO</v>
      </c>
      <c r="R169" s="14">
        <f>YEAR(TBL_Employees[[#This Row],[Hire Date]])</f>
        <v>2016</v>
      </c>
    </row>
    <row r="170" spans="1:18" x14ac:dyDescent="0.35">
      <c r="A170" t="s">
        <v>410</v>
      </c>
      <c r="B170" t="s">
        <v>411</v>
      </c>
      <c r="C170" t="s">
        <v>80</v>
      </c>
      <c r="D170" t="s">
        <v>60</v>
      </c>
      <c r="E170" t="s">
        <v>50</v>
      </c>
      <c r="F170" t="s">
        <v>19</v>
      </c>
      <c r="G170" t="s">
        <v>28</v>
      </c>
      <c r="H170">
        <v>56</v>
      </c>
      <c r="I170" s="5">
        <v>41714</v>
      </c>
      <c r="J170" s="11">
        <v>190815</v>
      </c>
      <c r="K170" s="6">
        <v>0.4</v>
      </c>
      <c r="L170" t="s">
        <v>21</v>
      </c>
      <c r="M170" t="s">
        <v>61</v>
      </c>
      <c r="N170" s="5" t="s">
        <v>31</v>
      </c>
      <c r="O170">
        <f>TBL_Employees[[#This Row],[Bonus %]]*TBL_Employees[[#This Row],[Annual Salary]]</f>
        <v>76326</v>
      </c>
      <c r="P170" t="str">
        <f>IF(TBL_Employees[[#This Row],[Age]]&gt;50,"Senior","Junior")</f>
        <v>Senior</v>
      </c>
      <c r="Q170" s="14" t="str">
        <f>IF(OR(D170="IT", J170&gt;100000), "YES", "NO")</f>
        <v>YES</v>
      </c>
      <c r="R170" s="14">
        <f>YEAR(TBL_Employees[[#This Row],[Hire Date]])</f>
        <v>2014</v>
      </c>
    </row>
    <row r="171" spans="1:18" x14ac:dyDescent="0.35">
      <c r="A171" t="s">
        <v>412</v>
      </c>
      <c r="B171" t="s">
        <v>201</v>
      </c>
      <c r="C171" t="s">
        <v>16</v>
      </c>
      <c r="D171" t="s">
        <v>49</v>
      </c>
      <c r="E171" t="s">
        <v>18</v>
      </c>
      <c r="F171" t="s">
        <v>19</v>
      </c>
      <c r="G171" t="s">
        <v>37</v>
      </c>
      <c r="H171">
        <v>62</v>
      </c>
      <c r="I171" s="5">
        <v>36374</v>
      </c>
      <c r="J171" s="11">
        <v>137995</v>
      </c>
      <c r="K171" s="6">
        <v>0.14000000000000001</v>
      </c>
      <c r="L171" t="s">
        <v>21</v>
      </c>
      <c r="M171" t="s">
        <v>61</v>
      </c>
      <c r="N171" s="5" t="s">
        <v>31</v>
      </c>
      <c r="O171">
        <f>TBL_Employees[[#This Row],[Bonus %]]*TBL_Employees[[#This Row],[Annual Salary]]</f>
        <v>19319.300000000003</v>
      </c>
      <c r="P171" t="str">
        <f>IF(TBL_Employees[[#This Row],[Age]]&gt;50,"Senior","Junior")</f>
        <v>Senior</v>
      </c>
      <c r="Q171" s="14" t="str">
        <f>IF(OR(D171="IT", J171&gt;100000), "YES", "NO")</f>
        <v>YES</v>
      </c>
      <c r="R171" s="14">
        <f>YEAR(TBL_Employees[[#This Row],[Hire Date]])</f>
        <v>1999</v>
      </c>
    </row>
    <row r="172" spans="1:18" x14ac:dyDescent="0.35">
      <c r="A172" t="s">
        <v>413</v>
      </c>
      <c r="B172" t="s">
        <v>414</v>
      </c>
      <c r="C172" t="s">
        <v>144</v>
      </c>
      <c r="D172" t="s">
        <v>66</v>
      </c>
      <c r="E172" t="s">
        <v>26</v>
      </c>
      <c r="F172" t="s">
        <v>19</v>
      </c>
      <c r="G172" t="s">
        <v>86</v>
      </c>
      <c r="H172">
        <v>45</v>
      </c>
      <c r="I172" s="5">
        <v>39437</v>
      </c>
      <c r="J172" s="11">
        <v>93840</v>
      </c>
      <c r="K172" s="6">
        <v>0</v>
      </c>
      <c r="L172" t="s">
        <v>94</v>
      </c>
      <c r="M172" t="s">
        <v>95</v>
      </c>
      <c r="N172" s="5" t="s">
        <v>31</v>
      </c>
      <c r="O172">
        <f>TBL_Employees[[#This Row],[Bonus %]]*TBL_Employees[[#This Row],[Annual Salary]]</f>
        <v>0</v>
      </c>
      <c r="P172" t="str">
        <f>IF(TBL_Employees[[#This Row],[Age]]&gt;50,"Senior","Junior")</f>
        <v>Junior</v>
      </c>
      <c r="Q172" s="14" t="str">
        <f>IF(OR(D172="IT", J172&gt;100000), "YES", "NO")</f>
        <v>NO</v>
      </c>
      <c r="R172" s="14">
        <f>YEAR(TBL_Employees[[#This Row],[Hire Date]])</f>
        <v>2007</v>
      </c>
    </row>
    <row r="173" spans="1:18" x14ac:dyDescent="0.35">
      <c r="A173" t="s">
        <v>415</v>
      </c>
      <c r="B173" t="s">
        <v>416</v>
      </c>
      <c r="C173" t="s">
        <v>25</v>
      </c>
      <c r="D173" t="s">
        <v>17</v>
      </c>
      <c r="E173" t="s">
        <v>18</v>
      </c>
      <c r="F173" t="s">
        <v>27</v>
      </c>
      <c r="G173" t="s">
        <v>28</v>
      </c>
      <c r="H173">
        <v>46</v>
      </c>
      <c r="I173" s="5">
        <v>44495</v>
      </c>
      <c r="J173" s="11">
        <v>94790</v>
      </c>
      <c r="K173" s="6">
        <v>0</v>
      </c>
      <c r="L173" t="s">
        <v>29</v>
      </c>
      <c r="M173" t="s">
        <v>30</v>
      </c>
      <c r="N173" s="5" t="s">
        <v>31</v>
      </c>
      <c r="O173">
        <f>TBL_Employees[[#This Row],[Bonus %]]*TBL_Employees[[#This Row],[Annual Salary]]</f>
        <v>0</v>
      </c>
      <c r="P173" t="str">
        <f>IF(TBL_Employees[[#This Row],[Age]]&gt;50,"Senior","Junior")</f>
        <v>Junior</v>
      </c>
      <c r="Q173" s="14" t="str">
        <f>IF(OR(D173="IT", J173&gt;100000), "YES", "NO")</f>
        <v>YES</v>
      </c>
      <c r="R173" s="14">
        <f>YEAR(TBL_Employees[[#This Row],[Hire Date]])</f>
        <v>2021</v>
      </c>
    </row>
    <row r="174" spans="1:18" x14ac:dyDescent="0.35">
      <c r="A174" t="s">
        <v>417</v>
      </c>
      <c r="B174" t="s">
        <v>418</v>
      </c>
      <c r="C174" t="s">
        <v>80</v>
      </c>
      <c r="D174" t="s">
        <v>66</v>
      </c>
      <c r="E174" t="s">
        <v>18</v>
      </c>
      <c r="F174" t="s">
        <v>27</v>
      </c>
      <c r="G174" t="s">
        <v>28</v>
      </c>
      <c r="H174">
        <v>48</v>
      </c>
      <c r="I174" s="5">
        <v>41706</v>
      </c>
      <c r="J174" s="11">
        <v>197367</v>
      </c>
      <c r="K174" s="6">
        <v>0.39</v>
      </c>
      <c r="L174" t="s">
        <v>21</v>
      </c>
      <c r="M174" t="s">
        <v>61</v>
      </c>
      <c r="N174" s="5" t="s">
        <v>31</v>
      </c>
      <c r="O174">
        <f>TBL_Employees[[#This Row],[Bonus %]]*TBL_Employees[[#This Row],[Annual Salary]]</f>
        <v>76973.13</v>
      </c>
      <c r="P174" t="str">
        <f>IF(TBL_Employees[[#This Row],[Age]]&gt;50,"Senior","Junior")</f>
        <v>Junior</v>
      </c>
      <c r="Q174" s="14" t="str">
        <f>IF(OR(D174="IT", J174&gt;100000), "YES", "NO")</f>
        <v>YES</v>
      </c>
      <c r="R174" s="14">
        <f>YEAR(TBL_Employees[[#This Row],[Hire Date]])</f>
        <v>2014</v>
      </c>
    </row>
    <row r="175" spans="1:18" x14ac:dyDescent="0.35">
      <c r="A175" t="s">
        <v>419</v>
      </c>
      <c r="B175" t="s">
        <v>420</v>
      </c>
      <c r="C175" t="s">
        <v>34</v>
      </c>
      <c r="D175" t="s">
        <v>60</v>
      </c>
      <c r="E175" t="s">
        <v>26</v>
      </c>
      <c r="F175" t="s">
        <v>19</v>
      </c>
      <c r="G175" t="s">
        <v>86</v>
      </c>
      <c r="H175">
        <v>27</v>
      </c>
      <c r="I175" s="5">
        <v>43276</v>
      </c>
      <c r="J175" s="11">
        <v>174097</v>
      </c>
      <c r="K175" s="6">
        <v>0.21</v>
      </c>
      <c r="L175" t="s">
        <v>21</v>
      </c>
      <c r="M175" t="s">
        <v>45</v>
      </c>
      <c r="N175" s="5" t="s">
        <v>31</v>
      </c>
      <c r="O175">
        <f>TBL_Employees[[#This Row],[Bonus %]]*TBL_Employees[[#This Row],[Annual Salary]]</f>
        <v>36560.369999999995</v>
      </c>
      <c r="P175" t="str">
        <f>IF(TBL_Employees[[#This Row],[Age]]&gt;50,"Senior","Junior")</f>
        <v>Junior</v>
      </c>
      <c r="Q175" s="14" t="str">
        <f>IF(OR(D175="IT", J175&gt;100000), "YES", "NO")</f>
        <v>YES</v>
      </c>
      <c r="R175" s="14">
        <f>YEAR(TBL_Employees[[#This Row],[Hire Date]])</f>
        <v>2018</v>
      </c>
    </row>
    <row r="176" spans="1:18" x14ac:dyDescent="0.35">
      <c r="A176" t="s">
        <v>421</v>
      </c>
      <c r="B176" t="s">
        <v>422</v>
      </c>
      <c r="C176" t="s">
        <v>53</v>
      </c>
      <c r="D176" t="s">
        <v>17</v>
      </c>
      <c r="E176" t="s">
        <v>36</v>
      </c>
      <c r="F176" t="s">
        <v>27</v>
      </c>
      <c r="G176" t="s">
        <v>86</v>
      </c>
      <c r="H176">
        <v>53</v>
      </c>
      <c r="I176" s="5">
        <v>39021</v>
      </c>
      <c r="J176" s="11">
        <v>120128</v>
      </c>
      <c r="K176" s="6">
        <v>0.1</v>
      </c>
      <c r="L176" t="s">
        <v>21</v>
      </c>
      <c r="M176" t="s">
        <v>61</v>
      </c>
      <c r="N176" s="5" t="s">
        <v>31</v>
      </c>
      <c r="O176">
        <f>TBL_Employees[[#This Row],[Bonus %]]*TBL_Employees[[#This Row],[Annual Salary]]</f>
        <v>12012.800000000001</v>
      </c>
      <c r="P176" t="str">
        <f>IF(TBL_Employees[[#This Row],[Age]]&gt;50,"Senior","Junior")</f>
        <v>Senior</v>
      </c>
      <c r="Q176" s="14" t="str">
        <f>IF(OR(D176="IT", J176&gt;100000), "YES", "NO")</f>
        <v>YES</v>
      </c>
      <c r="R176" s="14">
        <f>YEAR(TBL_Employees[[#This Row],[Hire Date]])</f>
        <v>2006</v>
      </c>
    </row>
    <row r="177" spans="1:20" x14ac:dyDescent="0.35">
      <c r="A177" t="s">
        <v>423</v>
      </c>
      <c r="B177" t="s">
        <v>424</v>
      </c>
      <c r="C177" t="s">
        <v>53</v>
      </c>
      <c r="D177" t="s">
        <v>81</v>
      </c>
      <c r="E177" t="s">
        <v>26</v>
      </c>
      <c r="F177" t="s">
        <v>19</v>
      </c>
      <c r="G177" t="s">
        <v>37</v>
      </c>
      <c r="H177">
        <v>59</v>
      </c>
      <c r="I177" s="5">
        <v>39197</v>
      </c>
      <c r="J177" s="11">
        <v>129708</v>
      </c>
      <c r="K177" s="6">
        <v>0.05</v>
      </c>
      <c r="L177" t="s">
        <v>21</v>
      </c>
      <c r="M177" t="s">
        <v>57</v>
      </c>
      <c r="N177" s="5" t="s">
        <v>31</v>
      </c>
      <c r="O177">
        <f>TBL_Employees[[#This Row],[Bonus %]]*TBL_Employees[[#This Row],[Annual Salary]]</f>
        <v>6485.4000000000005</v>
      </c>
      <c r="P177" t="str">
        <f>IF(TBL_Employees[[#This Row],[Age]]&gt;50,"Senior","Junior")</f>
        <v>Senior</v>
      </c>
      <c r="Q177" s="14" t="str">
        <f>IF(OR(D177="IT", J177&gt;100000), "YES", "NO")</f>
        <v>YES</v>
      </c>
      <c r="R177" s="14">
        <f>YEAR(TBL_Employees[[#This Row],[Hire Date]])</f>
        <v>2007</v>
      </c>
    </row>
    <row r="178" spans="1:20" x14ac:dyDescent="0.35">
      <c r="A178" t="s">
        <v>425</v>
      </c>
      <c r="B178" t="s">
        <v>426</v>
      </c>
      <c r="C178" t="s">
        <v>53</v>
      </c>
      <c r="D178" t="s">
        <v>81</v>
      </c>
      <c r="E178" t="s">
        <v>18</v>
      </c>
      <c r="F178" t="s">
        <v>27</v>
      </c>
      <c r="G178" t="s">
        <v>28</v>
      </c>
      <c r="H178">
        <v>55</v>
      </c>
      <c r="I178" s="5">
        <v>34595</v>
      </c>
      <c r="J178" s="11">
        <v>102270</v>
      </c>
      <c r="K178" s="6">
        <v>0.1</v>
      </c>
      <c r="L178" t="s">
        <v>21</v>
      </c>
      <c r="M178" t="s">
        <v>38</v>
      </c>
      <c r="N178" s="5" t="s">
        <v>31</v>
      </c>
      <c r="O178">
        <f>TBL_Employees[[#This Row],[Bonus %]]*TBL_Employees[[#This Row],[Annual Salary]]</f>
        <v>10227</v>
      </c>
      <c r="P178" t="str">
        <f>IF(TBL_Employees[[#This Row],[Age]]&gt;50,"Senior","Junior")</f>
        <v>Senior</v>
      </c>
      <c r="Q178" s="14" t="str">
        <f>IF(OR(D178="IT", J178&gt;100000), "YES", "NO")</f>
        <v>YES</v>
      </c>
      <c r="R178" s="14">
        <f>YEAR(TBL_Employees[[#This Row],[Hire Date]])</f>
        <v>1994</v>
      </c>
    </row>
    <row r="179" spans="1:20" x14ac:dyDescent="0.35">
      <c r="A179" t="s">
        <v>427</v>
      </c>
      <c r="B179" t="s">
        <v>428</v>
      </c>
      <c r="C179" t="s">
        <v>80</v>
      </c>
      <c r="D179" t="s">
        <v>35</v>
      </c>
      <c r="E179" t="s">
        <v>36</v>
      </c>
      <c r="F179" t="s">
        <v>19</v>
      </c>
      <c r="G179" t="s">
        <v>28</v>
      </c>
      <c r="H179">
        <v>43</v>
      </c>
      <c r="I179" s="5">
        <v>38564</v>
      </c>
      <c r="J179" s="11">
        <v>249686</v>
      </c>
      <c r="K179" s="6">
        <v>0.31</v>
      </c>
      <c r="L179" t="s">
        <v>29</v>
      </c>
      <c r="M179" t="s">
        <v>30</v>
      </c>
      <c r="N179" s="5" t="s">
        <v>31</v>
      </c>
      <c r="O179">
        <f>TBL_Employees[[#This Row],[Bonus %]]*TBL_Employees[[#This Row],[Annual Salary]]</f>
        <v>77402.66</v>
      </c>
      <c r="P179" t="str">
        <f>IF(TBL_Employees[[#This Row],[Age]]&gt;50,"Senior","Junior")</f>
        <v>Junior</v>
      </c>
      <c r="Q179" s="14" t="str">
        <f>IF(OR(D179="IT", J179&gt;100000), "YES", "NO")</f>
        <v>YES</v>
      </c>
      <c r="R179" s="14">
        <f>YEAR(TBL_Employees[[#This Row],[Hire Date]])</f>
        <v>2005</v>
      </c>
    </row>
    <row r="180" spans="1:20" x14ac:dyDescent="0.35">
      <c r="A180" t="s">
        <v>429</v>
      </c>
      <c r="B180" t="s">
        <v>430</v>
      </c>
      <c r="C180" t="s">
        <v>56</v>
      </c>
      <c r="D180" t="s">
        <v>35</v>
      </c>
      <c r="E180" t="s">
        <v>26</v>
      </c>
      <c r="F180" t="s">
        <v>19</v>
      </c>
      <c r="G180" t="s">
        <v>28</v>
      </c>
      <c r="H180">
        <v>55</v>
      </c>
      <c r="I180" s="5">
        <v>37343</v>
      </c>
      <c r="J180" s="11">
        <v>50475</v>
      </c>
      <c r="K180" s="6">
        <v>0</v>
      </c>
      <c r="L180" t="s">
        <v>21</v>
      </c>
      <c r="M180" t="s">
        <v>89</v>
      </c>
      <c r="N180" s="5" t="s">
        <v>31</v>
      </c>
      <c r="O180">
        <f>TBL_Employees[[#This Row],[Bonus %]]*TBL_Employees[[#This Row],[Annual Salary]]</f>
        <v>0</v>
      </c>
      <c r="P180" t="str">
        <f>IF(TBL_Employees[[#This Row],[Age]]&gt;50,"Senior","Junior")</f>
        <v>Senior</v>
      </c>
      <c r="Q180" s="14" t="str">
        <f>IF(OR(D180="IT", J180&gt;100000), "YES", "NO")</f>
        <v>NO</v>
      </c>
      <c r="R180" s="14">
        <f>YEAR(TBL_Employees[[#This Row],[Hire Date]])</f>
        <v>2002</v>
      </c>
    </row>
    <row r="181" spans="1:20" x14ac:dyDescent="0.35">
      <c r="A181" t="s">
        <v>431</v>
      </c>
      <c r="B181" t="s">
        <v>432</v>
      </c>
      <c r="C181" t="s">
        <v>53</v>
      </c>
      <c r="D181" t="s">
        <v>81</v>
      </c>
      <c r="E181" t="s">
        <v>18</v>
      </c>
      <c r="F181" t="s">
        <v>27</v>
      </c>
      <c r="G181" t="s">
        <v>37</v>
      </c>
      <c r="H181">
        <v>51</v>
      </c>
      <c r="I181" s="5">
        <v>44014</v>
      </c>
      <c r="J181" s="11">
        <v>100099</v>
      </c>
      <c r="K181" s="6">
        <v>0.08</v>
      </c>
      <c r="L181" t="s">
        <v>21</v>
      </c>
      <c r="M181" t="s">
        <v>57</v>
      </c>
      <c r="N181" s="5" t="s">
        <v>31</v>
      </c>
      <c r="O181">
        <f>TBL_Employees[[#This Row],[Bonus %]]*TBL_Employees[[#This Row],[Annual Salary]]</f>
        <v>8007.92</v>
      </c>
      <c r="P181" t="str">
        <f>IF(TBL_Employees[[#This Row],[Age]]&gt;50,"Senior","Junior")</f>
        <v>Senior</v>
      </c>
      <c r="Q181" s="14" t="str">
        <f>IF(OR(D181="IT", J181&gt;100000), "YES", "NO")</f>
        <v>YES</v>
      </c>
      <c r="R181" s="14">
        <f>YEAR(TBL_Employees[[#This Row],[Hire Date]])</f>
        <v>2020</v>
      </c>
    </row>
    <row r="182" spans="1:20" x14ac:dyDescent="0.35">
      <c r="A182" t="s">
        <v>433</v>
      </c>
      <c r="B182" t="s">
        <v>434</v>
      </c>
      <c r="C182" t="s">
        <v>120</v>
      </c>
      <c r="D182" t="s">
        <v>17</v>
      </c>
      <c r="E182" t="s">
        <v>26</v>
      </c>
      <c r="F182" t="s">
        <v>19</v>
      </c>
      <c r="G182" t="s">
        <v>37</v>
      </c>
      <c r="H182">
        <v>54</v>
      </c>
      <c r="I182" s="5">
        <v>42731</v>
      </c>
      <c r="J182" s="11">
        <v>41673</v>
      </c>
      <c r="K182" s="6">
        <v>0</v>
      </c>
      <c r="L182" t="s">
        <v>21</v>
      </c>
      <c r="M182" t="s">
        <v>57</v>
      </c>
      <c r="N182" s="5" t="s">
        <v>31</v>
      </c>
      <c r="O182">
        <f>TBL_Employees[[#This Row],[Bonus %]]*TBL_Employees[[#This Row],[Annual Salary]]</f>
        <v>0</v>
      </c>
      <c r="P182" t="str">
        <f>IF(TBL_Employees[[#This Row],[Age]]&gt;50,"Senior","Junior")</f>
        <v>Senior</v>
      </c>
      <c r="Q182" s="14" t="str">
        <f>IF(OR(D182="IT", J182&gt;100000), "YES", "NO")</f>
        <v>YES</v>
      </c>
      <c r="R182" s="14">
        <f>YEAR(TBL_Employees[[#This Row],[Hire Date]])</f>
        <v>2016</v>
      </c>
    </row>
    <row r="183" spans="1:20" x14ac:dyDescent="0.35">
      <c r="A183" t="s">
        <v>435</v>
      </c>
      <c r="B183" t="s">
        <v>436</v>
      </c>
      <c r="C183" t="s">
        <v>44</v>
      </c>
      <c r="D183" t="s">
        <v>81</v>
      </c>
      <c r="E183" t="s">
        <v>36</v>
      </c>
      <c r="F183" t="s">
        <v>19</v>
      </c>
      <c r="G183" t="s">
        <v>28</v>
      </c>
      <c r="H183">
        <v>47</v>
      </c>
      <c r="I183" s="5">
        <v>42928</v>
      </c>
      <c r="J183" s="11">
        <v>70996</v>
      </c>
      <c r="K183" s="6">
        <v>0</v>
      </c>
      <c r="L183" t="s">
        <v>29</v>
      </c>
      <c r="M183" t="s">
        <v>135</v>
      </c>
      <c r="N183" s="5" t="s">
        <v>31</v>
      </c>
      <c r="O183">
        <f>TBL_Employees[[#This Row],[Bonus %]]*TBL_Employees[[#This Row],[Annual Salary]]</f>
        <v>0</v>
      </c>
      <c r="P183" t="str">
        <f>IF(TBL_Employees[[#This Row],[Age]]&gt;50,"Senior","Junior")</f>
        <v>Junior</v>
      </c>
      <c r="Q183" s="14" t="str">
        <f>IF(OR(D183="IT", J183&gt;100000), "YES", "NO")</f>
        <v>NO</v>
      </c>
      <c r="R183" s="14">
        <f>YEAR(TBL_Employees[[#This Row],[Hire Date]])</f>
        <v>2017</v>
      </c>
    </row>
    <row r="184" spans="1:20" x14ac:dyDescent="0.35">
      <c r="A184" t="s">
        <v>437</v>
      </c>
      <c r="B184" t="s">
        <v>438</v>
      </c>
      <c r="C184" t="s">
        <v>56</v>
      </c>
      <c r="D184" t="s">
        <v>81</v>
      </c>
      <c r="E184" t="s">
        <v>50</v>
      </c>
      <c r="F184" t="s">
        <v>27</v>
      </c>
      <c r="G184" t="s">
        <v>37</v>
      </c>
      <c r="H184">
        <v>55</v>
      </c>
      <c r="I184" s="5">
        <v>38328</v>
      </c>
      <c r="J184" s="11">
        <v>40752</v>
      </c>
      <c r="K184" s="6">
        <v>0</v>
      </c>
      <c r="L184" t="s">
        <v>21</v>
      </c>
      <c r="M184" t="s">
        <v>45</v>
      </c>
      <c r="N184" s="5" t="s">
        <v>31</v>
      </c>
      <c r="O184">
        <f>TBL_Employees[[#This Row],[Bonus %]]*TBL_Employees[[#This Row],[Annual Salary]]</f>
        <v>0</v>
      </c>
      <c r="P184" t="str">
        <f>IF(TBL_Employees[[#This Row],[Age]]&gt;50,"Senior","Junior")</f>
        <v>Senior</v>
      </c>
      <c r="Q184" s="14" t="str">
        <f>IF(OR(D184="IT", J184&gt;100000), "YES", "NO")</f>
        <v>NO</v>
      </c>
      <c r="R184" s="14">
        <f>YEAR(TBL_Employees[[#This Row],[Hire Date]])</f>
        <v>2004</v>
      </c>
    </row>
    <row r="185" spans="1:20" x14ac:dyDescent="0.35">
      <c r="A185" t="s">
        <v>439</v>
      </c>
      <c r="B185" t="s">
        <v>440</v>
      </c>
      <c r="C185" t="s">
        <v>252</v>
      </c>
      <c r="D185" t="s">
        <v>17</v>
      </c>
      <c r="E185" t="s">
        <v>26</v>
      </c>
      <c r="F185" t="s">
        <v>19</v>
      </c>
      <c r="G185" t="s">
        <v>28</v>
      </c>
      <c r="H185">
        <v>50</v>
      </c>
      <c r="I185" s="5">
        <v>36914</v>
      </c>
      <c r="J185" s="11">
        <v>97537</v>
      </c>
      <c r="K185" s="6">
        <v>0</v>
      </c>
      <c r="L185" t="s">
        <v>29</v>
      </c>
      <c r="M185" t="s">
        <v>135</v>
      </c>
      <c r="N185" s="5" t="s">
        <v>31</v>
      </c>
      <c r="O185">
        <f>TBL_Employees[[#This Row],[Bonus %]]*TBL_Employees[[#This Row],[Annual Salary]]</f>
        <v>0</v>
      </c>
      <c r="P185" t="str">
        <f>IF(TBL_Employees[[#This Row],[Age]]&gt;50,"Senior","Junior")</f>
        <v>Junior</v>
      </c>
      <c r="Q185" s="14" t="str">
        <f>IF(OR(D185="IT", J185&gt;100000), "YES", "NO")</f>
        <v>YES</v>
      </c>
      <c r="R185" s="14">
        <f>YEAR(TBL_Employees[[#This Row],[Hire Date]])</f>
        <v>2001</v>
      </c>
    </row>
    <row r="186" spans="1:20" x14ac:dyDescent="0.35">
      <c r="A186" t="s">
        <v>441</v>
      </c>
      <c r="B186" t="s">
        <v>442</v>
      </c>
      <c r="C186" t="s">
        <v>443</v>
      </c>
      <c r="D186" t="s">
        <v>17</v>
      </c>
      <c r="E186" t="s">
        <v>18</v>
      </c>
      <c r="F186" t="s">
        <v>27</v>
      </c>
      <c r="G186" t="s">
        <v>28</v>
      </c>
      <c r="H186">
        <v>31</v>
      </c>
      <c r="I186" s="5">
        <v>44086</v>
      </c>
      <c r="J186" s="11">
        <v>96567</v>
      </c>
      <c r="K186" s="6">
        <v>0</v>
      </c>
      <c r="L186" t="s">
        <v>29</v>
      </c>
      <c r="M186" t="s">
        <v>75</v>
      </c>
      <c r="N186" s="5" t="s">
        <v>31</v>
      </c>
      <c r="O186">
        <f>TBL_Employees[[#This Row],[Bonus %]]*TBL_Employees[[#This Row],[Annual Salary]]</f>
        <v>0</v>
      </c>
      <c r="P186" t="str">
        <f>IF(TBL_Employees[[#This Row],[Age]]&gt;50,"Senior","Junior")</f>
        <v>Junior</v>
      </c>
      <c r="Q186" s="14" t="str">
        <f>IF(OR(D186="IT", J186&gt;100000), "YES", "NO")</f>
        <v>YES</v>
      </c>
      <c r="R186" s="14">
        <f>YEAR(TBL_Employees[[#This Row],[Hire Date]])</f>
        <v>2020</v>
      </c>
    </row>
    <row r="187" spans="1:20" x14ac:dyDescent="0.35">
      <c r="A187" t="s">
        <v>101</v>
      </c>
      <c r="B187" t="s">
        <v>444</v>
      </c>
      <c r="C187" t="s">
        <v>331</v>
      </c>
      <c r="D187" t="s">
        <v>17</v>
      </c>
      <c r="E187" t="s">
        <v>36</v>
      </c>
      <c r="F187" t="s">
        <v>27</v>
      </c>
      <c r="G187" t="s">
        <v>28</v>
      </c>
      <c r="H187">
        <v>47</v>
      </c>
      <c r="I187" s="5">
        <v>36229</v>
      </c>
      <c r="J187" s="11">
        <v>49404</v>
      </c>
      <c r="K187" s="6">
        <v>0</v>
      </c>
      <c r="L187" t="s">
        <v>29</v>
      </c>
      <c r="M187" t="s">
        <v>115</v>
      </c>
      <c r="N187" s="5" t="s">
        <v>31</v>
      </c>
      <c r="O187">
        <f>TBL_Employees[[#This Row],[Bonus %]]*TBL_Employees[[#This Row],[Annual Salary]]</f>
        <v>0</v>
      </c>
      <c r="P187" t="str">
        <f>IF(TBL_Employees[[#This Row],[Age]]&gt;50,"Senior","Junior")</f>
        <v>Junior</v>
      </c>
      <c r="Q187" s="14" t="str">
        <f>IF(OR(D187="IT", J187&gt;100000), "YES", "NO")</f>
        <v>YES</v>
      </c>
      <c r="R187" s="14">
        <f>YEAR(TBL_Employees[[#This Row],[Hire Date]])</f>
        <v>1999</v>
      </c>
    </row>
    <row r="188" spans="1:20" x14ac:dyDescent="0.35">
      <c r="A188" t="s">
        <v>445</v>
      </c>
      <c r="B188" t="s">
        <v>446</v>
      </c>
      <c r="C188" t="s">
        <v>443</v>
      </c>
      <c r="D188" t="s">
        <v>17</v>
      </c>
      <c r="E188" t="s">
        <v>18</v>
      </c>
      <c r="F188" t="s">
        <v>27</v>
      </c>
      <c r="G188" t="s">
        <v>86</v>
      </c>
      <c r="H188">
        <v>29</v>
      </c>
      <c r="I188" s="5">
        <v>43753</v>
      </c>
      <c r="J188" s="11">
        <v>66819</v>
      </c>
      <c r="K188" s="6">
        <v>0</v>
      </c>
      <c r="L188" t="s">
        <v>94</v>
      </c>
      <c r="M188" t="s">
        <v>100</v>
      </c>
      <c r="N188" s="5" t="s">
        <v>31</v>
      </c>
      <c r="O188">
        <f>TBL_Employees[[#This Row],[Bonus %]]*TBL_Employees[[#This Row],[Annual Salary]]</f>
        <v>0</v>
      </c>
      <c r="P188" t="str">
        <f>IF(TBL_Employees[[#This Row],[Age]]&gt;50,"Senior","Junior")</f>
        <v>Junior</v>
      </c>
      <c r="Q188" s="14" t="str">
        <f>IF(OR(D188="IT", J188&gt;100000), "YES", "NO")</f>
        <v>YES</v>
      </c>
      <c r="R188" s="14">
        <f>YEAR(TBL_Employees[[#This Row],[Hire Date]])</f>
        <v>2019</v>
      </c>
      <c r="T188" t="b">
        <f>J25&gt;100000</f>
        <v>0</v>
      </c>
    </row>
    <row r="189" spans="1:20" x14ac:dyDescent="0.35">
      <c r="A189" t="s">
        <v>447</v>
      </c>
      <c r="B189" t="s">
        <v>448</v>
      </c>
      <c r="C189" t="s">
        <v>56</v>
      </c>
      <c r="D189" t="s">
        <v>81</v>
      </c>
      <c r="E189" t="s">
        <v>36</v>
      </c>
      <c r="F189" t="s">
        <v>27</v>
      </c>
      <c r="G189" t="s">
        <v>86</v>
      </c>
      <c r="H189">
        <v>38</v>
      </c>
      <c r="I189" s="5">
        <v>42492</v>
      </c>
      <c r="J189" s="11">
        <v>50784</v>
      </c>
      <c r="K189" s="6">
        <v>0</v>
      </c>
      <c r="L189" t="s">
        <v>94</v>
      </c>
      <c r="M189" t="s">
        <v>100</v>
      </c>
      <c r="N189" s="5" t="s">
        <v>31</v>
      </c>
      <c r="O189">
        <f>TBL_Employees[[#This Row],[Bonus %]]*TBL_Employees[[#This Row],[Annual Salary]]</f>
        <v>0</v>
      </c>
      <c r="P189" t="str">
        <f>IF(TBL_Employees[[#This Row],[Age]]&gt;50,"Senior","Junior")</f>
        <v>Junior</v>
      </c>
      <c r="Q189" s="14" t="str">
        <f>IF(OR(D189="IT", J189&gt;100000), "YES", "NO")</f>
        <v>NO</v>
      </c>
      <c r="R189" s="14">
        <f>YEAR(TBL_Employees[[#This Row],[Hire Date]])</f>
        <v>2016</v>
      </c>
    </row>
    <row r="190" spans="1:20" x14ac:dyDescent="0.35">
      <c r="A190" t="s">
        <v>449</v>
      </c>
      <c r="B190" t="s">
        <v>450</v>
      </c>
      <c r="C190" t="s">
        <v>16</v>
      </c>
      <c r="D190" t="s">
        <v>66</v>
      </c>
      <c r="E190" t="s">
        <v>18</v>
      </c>
      <c r="F190" t="s">
        <v>27</v>
      </c>
      <c r="G190" t="s">
        <v>86</v>
      </c>
      <c r="H190">
        <v>29</v>
      </c>
      <c r="I190" s="5">
        <v>43594</v>
      </c>
      <c r="J190" s="11">
        <v>125828</v>
      </c>
      <c r="K190" s="6">
        <v>0.15</v>
      </c>
      <c r="L190" t="s">
        <v>94</v>
      </c>
      <c r="M190" t="s">
        <v>219</v>
      </c>
      <c r="N190" s="5" t="s">
        <v>31</v>
      </c>
      <c r="O190">
        <f>TBL_Employees[[#This Row],[Bonus %]]*TBL_Employees[[#This Row],[Annual Salary]]</f>
        <v>18874.2</v>
      </c>
      <c r="P190" t="str">
        <f>IF(TBL_Employees[[#This Row],[Age]]&gt;50,"Senior","Junior")</f>
        <v>Junior</v>
      </c>
      <c r="Q190" s="14" t="str">
        <f>IF(OR(D190="IT", J190&gt;100000), "YES", "NO")</f>
        <v>YES</v>
      </c>
      <c r="R190" s="14">
        <f>YEAR(TBL_Employees[[#This Row],[Hire Date]])</f>
        <v>2019</v>
      </c>
    </row>
    <row r="191" spans="1:20" x14ac:dyDescent="0.35">
      <c r="A191" t="s">
        <v>451</v>
      </c>
      <c r="B191" t="s">
        <v>452</v>
      </c>
      <c r="C191" t="s">
        <v>144</v>
      </c>
      <c r="D191" t="s">
        <v>66</v>
      </c>
      <c r="E191" t="s">
        <v>26</v>
      </c>
      <c r="F191" t="s">
        <v>27</v>
      </c>
      <c r="G191" t="s">
        <v>37</v>
      </c>
      <c r="H191">
        <v>33</v>
      </c>
      <c r="I191" s="5">
        <v>42951</v>
      </c>
      <c r="J191" s="11">
        <v>92610</v>
      </c>
      <c r="K191" s="6">
        <v>0</v>
      </c>
      <c r="L191" t="s">
        <v>21</v>
      </c>
      <c r="M191" t="s">
        <v>89</v>
      </c>
      <c r="N191" s="5" t="s">
        <v>31</v>
      </c>
      <c r="O191">
        <f>TBL_Employees[[#This Row],[Bonus %]]*TBL_Employees[[#This Row],[Annual Salary]]</f>
        <v>0</v>
      </c>
      <c r="P191" t="str">
        <f>IF(TBL_Employees[[#This Row],[Age]]&gt;50,"Senior","Junior")</f>
        <v>Junior</v>
      </c>
      <c r="Q191" s="14" t="str">
        <f>IF(OR(D191="IT", J191&gt;100000), "YES", "NO")</f>
        <v>NO</v>
      </c>
      <c r="R191" s="14">
        <f>YEAR(TBL_Employees[[#This Row],[Hire Date]])</f>
        <v>2017</v>
      </c>
    </row>
    <row r="192" spans="1:20" x14ac:dyDescent="0.35">
      <c r="A192" t="s">
        <v>453</v>
      </c>
      <c r="B192" t="s">
        <v>454</v>
      </c>
      <c r="C192" t="s">
        <v>16</v>
      </c>
      <c r="D192" t="s">
        <v>49</v>
      </c>
      <c r="E192" t="s">
        <v>36</v>
      </c>
      <c r="F192" t="s">
        <v>27</v>
      </c>
      <c r="G192" t="s">
        <v>37</v>
      </c>
      <c r="H192">
        <v>50</v>
      </c>
      <c r="I192" s="5">
        <v>37705</v>
      </c>
      <c r="J192" s="11">
        <v>123405</v>
      </c>
      <c r="K192" s="6">
        <v>0.13</v>
      </c>
      <c r="L192" t="s">
        <v>21</v>
      </c>
      <c r="M192" t="s">
        <v>89</v>
      </c>
      <c r="N192" s="5" t="s">
        <v>31</v>
      </c>
      <c r="O192">
        <f>TBL_Employees[[#This Row],[Bonus %]]*TBL_Employees[[#This Row],[Annual Salary]]</f>
        <v>16042.650000000001</v>
      </c>
      <c r="P192" t="str">
        <f>IF(TBL_Employees[[#This Row],[Age]]&gt;50,"Senior","Junior")</f>
        <v>Junior</v>
      </c>
      <c r="Q192" s="14" t="str">
        <f>IF(OR(D192="IT", J192&gt;100000), "YES", "NO")</f>
        <v>YES</v>
      </c>
      <c r="R192" s="14">
        <f>YEAR(TBL_Employees[[#This Row],[Hire Date]])</f>
        <v>2003</v>
      </c>
    </row>
    <row r="193" spans="1:18" x14ac:dyDescent="0.35">
      <c r="A193" t="s">
        <v>455</v>
      </c>
      <c r="B193" t="s">
        <v>456</v>
      </c>
      <c r="C193" t="s">
        <v>48</v>
      </c>
      <c r="D193" t="s">
        <v>49</v>
      </c>
      <c r="E193" t="s">
        <v>26</v>
      </c>
      <c r="F193" t="s">
        <v>19</v>
      </c>
      <c r="G193" t="s">
        <v>28</v>
      </c>
      <c r="H193">
        <v>46</v>
      </c>
      <c r="I193" s="5">
        <v>38066</v>
      </c>
      <c r="J193" s="11">
        <v>73004</v>
      </c>
      <c r="K193" s="6">
        <v>0</v>
      </c>
      <c r="L193" t="s">
        <v>29</v>
      </c>
      <c r="M193" t="s">
        <v>115</v>
      </c>
      <c r="N193" s="5" t="s">
        <v>31</v>
      </c>
      <c r="O193">
        <f>TBL_Employees[[#This Row],[Bonus %]]*TBL_Employees[[#This Row],[Annual Salary]]</f>
        <v>0</v>
      </c>
      <c r="P193" t="str">
        <f>IF(TBL_Employees[[#This Row],[Age]]&gt;50,"Senior","Junior")</f>
        <v>Junior</v>
      </c>
      <c r="Q193" s="14" t="str">
        <f>IF(OR(D193="IT", J193&gt;100000), "YES", "NO")</f>
        <v>NO</v>
      </c>
      <c r="R193" s="14">
        <f>YEAR(TBL_Employees[[#This Row],[Hire Date]])</f>
        <v>2004</v>
      </c>
    </row>
    <row r="194" spans="1:18" x14ac:dyDescent="0.35">
      <c r="A194" t="s">
        <v>457</v>
      </c>
      <c r="B194" t="s">
        <v>458</v>
      </c>
      <c r="C194" t="s">
        <v>114</v>
      </c>
      <c r="D194" t="s">
        <v>70</v>
      </c>
      <c r="E194" t="s">
        <v>50</v>
      </c>
      <c r="F194" t="s">
        <v>27</v>
      </c>
      <c r="G194" t="s">
        <v>28</v>
      </c>
      <c r="H194">
        <v>57</v>
      </c>
      <c r="I194" s="5">
        <v>36275</v>
      </c>
      <c r="J194" s="11">
        <v>95061</v>
      </c>
      <c r="K194" s="6">
        <v>0.1</v>
      </c>
      <c r="L194" t="s">
        <v>29</v>
      </c>
      <c r="M194" t="s">
        <v>75</v>
      </c>
      <c r="N194" s="5" t="s">
        <v>31</v>
      </c>
      <c r="O194">
        <f>TBL_Employees[[#This Row],[Bonus %]]*TBL_Employees[[#This Row],[Annual Salary]]</f>
        <v>9506.1</v>
      </c>
      <c r="P194" t="str">
        <f>IF(TBL_Employees[[#This Row],[Age]]&gt;50,"Senior","Junior")</f>
        <v>Senior</v>
      </c>
      <c r="Q194" s="14" t="str">
        <f>IF(OR(D194="IT", J194&gt;100000), "YES", "NO")</f>
        <v>NO</v>
      </c>
      <c r="R194" s="14">
        <f>YEAR(TBL_Employees[[#This Row],[Hire Date]])</f>
        <v>1999</v>
      </c>
    </row>
    <row r="195" spans="1:18" x14ac:dyDescent="0.35">
      <c r="A195" t="s">
        <v>459</v>
      </c>
      <c r="B195" t="s">
        <v>460</v>
      </c>
      <c r="C195" t="s">
        <v>34</v>
      </c>
      <c r="D195" t="s">
        <v>49</v>
      </c>
      <c r="E195" t="s">
        <v>50</v>
      </c>
      <c r="F195" t="s">
        <v>19</v>
      </c>
      <c r="G195" t="s">
        <v>86</v>
      </c>
      <c r="H195">
        <v>49</v>
      </c>
      <c r="I195" s="5">
        <v>35887</v>
      </c>
      <c r="J195" s="11">
        <v>160832</v>
      </c>
      <c r="K195" s="6">
        <v>0.3</v>
      </c>
      <c r="L195" t="s">
        <v>21</v>
      </c>
      <c r="M195" t="s">
        <v>45</v>
      </c>
      <c r="N195" s="5" t="s">
        <v>31</v>
      </c>
      <c r="O195">
        <f>TBL_Employees[[#This Row],[Bonus %]]*TBL_Employees[[#This Row],[Annual Salary]]</f>
        <v>48249.599999999999</v>
      </c>
      <c r="P195" t="str">
        <f>IF(TBL_Employees[[#This Row],[Age]]&gt;50,"Senior","Junior")</f>
        <v>Junior</v>
      </c>
      <c r="Q195" s="14" t="str">
        <f>IF(OR(D195="IT", J195&gt;100000), "YES", "NO")</f>
        <v>YES</v>
      </c>
      <c r="R195" s="14">
        <f>YEAR(TBL_Employees[[#This Row],[Hire Date]])</f>
        <v>1998</v>
      </c>
    </row>
    <row r="196" spans="1:18" x14ac:dyDescent="0.35">
      <c r="A196" t="s">
        <v>461</v>
      </c>
      <c r="B196" t="s">
        <v>462</v>
      </c>
      <c r="C196" t="s">
        <v>463</v>
      </c>
      <c r="D196" t="s">
        <v>17</v>
      </c>
      <c r="E196" t="s">
        <v>26</v>
      </c>
      <c r="F196" t="s">
        <v>27</v>
      </c>
      <c r="G196" t="s">
        <v>20</v>
      </c>
      <c r="H196">
        <v>54</v>
      </c>
      <c r="I196" s="5">
        <v>40540</v>
      </c>
      <c r="J196" s="11">
        <v>64417</v>
      </c>
      <c r="K196" s="6">
        <v>0</v>
      </c>
      <c r="L196" t="s">
        <v>21</v>
      </c>
      <c r="M196" t="s">
        <v>89</v>
      </c>
      <c r="N196" s="5" t="s">
        <v>31</v>
      </c>
      <c r="O196">
        <f>TBL_Employees[[#This Row],[Bonus %]]*TBL_Employees[[#This Row],[Annual Salary]]</f>
        <v>0</v>
      </c>
      <c r="P196" t="str">
        <f>IF(TBL_Employees[[#This Row],[Age]]&gt;50,"Senior","Junior")</f>
        <v>Senior</v>
      </c>
      <c r="Q196" s="14" t="str">
        <f>IF(OR(D196="IT", J196&gt;100000), "YES", "NO")</f>
        <v>YES</v>
      </c>
      <c r="R196" s="14">
        <f>YEAR(TBL_Employees[[#This Row],[Hire Date]])</f>
        <v>2010</v>
      </c>
    </row>
    <row r="197" spans="1:18" x14ac:dyDescent="0.35">
      <c r="A197" t="s">
        <v>464</v>
      </c>
      <c r="B197" t="s">
        <v>465</v>
      </c>
      <c r="C197" t="s">
        <v>53</v>
      </c>
      <c r="D197" t="s">
        <v>49</v>
      </c>
      <c r="E197" t="s">
        <v>50</v>
      </c>
      <c r="F197" t="s">
        <v>27</v>
      </c>
      <c r="G197" t="s">
        <v>28</v>
      </c>
      <c r="H197">
        <v>28</v>
      </c>
      <c r="I197" s="5">
        <v>44274</v>
      </c>
      <c r="J197" s="11">
        <v>127543</v>
      </c>
      <c r="K197" s="6">
        <v>0.06</v>
      </c>
      <c r="L197" t="s">
        <v>29</v>
      </c>
      <c r="M197" t="s">
        <v>75</v>
      </c>
      <c r="N197" s="5" t="s">
        <v>31</v>
      </c>
      <c r="O197">
        <f>TBL_Employees[[#This Row],[Bonus %]]*TBL_Employees[[#This Row],[Annual Salary]]</f>
        <v>7652.58</v>
      </c>
      <c r="P197" t="str">
        <f>IF(TBL_Employees[[#This Row],[Age]]&gt;50,"Senior","Junior")</f>
        <v>Junior</v>
      </c>
      <c r="Q197" s="14" t="str">
        <f>IF(OR(D197="IT", J197&gt;100000), "YES", "NO")</f>
        <v>YES</v>
      </c>
      <c r="R197" s="14">
        <f>YEAR(TBL_Employees[[#This Row],[Hire Date]])</f>
        <v>2021</v>
      </c>
    </row>
    <row r="198" spans="1:18" x14ac:dyDescent="0.35">
      <c r="A198" t="s">
        <v>466</v>
      </c>
      <c r="B198" t="s">
        <v>467</v>
      </c>
      <c r="C198" t="s">
        <v>56</v>
      </c>
      <c r="D198" t="s">
        <v>81</v>
      </c>
      <c r="E198" t="s">
        <v>26</v>
      </c>
      <c r="F198" t="s">
        <v>27</v>
      </c>
      <c r="G198" t="s">
        <v>86</v>
      </c>
      <c r="H198">
        <v>30</v>
      </c>
      <c r="I198" s="5">
        <v>43272</v>
      </c>
      <c r="J198" s="11">
        <v>56154</v>
      </c>
      <c r="K198" s="6">
        <v>0</v>
      </c>
      <c r="L198" t="s">
        <v>94</v>
      </c>
      <c r="M198" t="s">
        <v>219</v>
      </c>
      <c r="N198" s="5" t="s">
        <v>31</v>
      </c>
      <c r="O198">
        <f>TBL_Employees[[#This Row],[Bonus %]]*TBL_Employees[[#This Row],[Annual Salary]]</f>
        <v>0</v>
      </c>
      <c r="P198" t="str">
        <f>IF(TBL_Employees[[#This Row],[Age]]&gt;50,"Senior","Junior")</f>
        <v>Junior</v>
      </c>
      <c r="Q198" s="14" t="str">
        <f>IF(OR(D198="IT", J198&gt;100000), "YES", "NO")</f>
        <v>NO</v>
      </c>
      <c r="R198" s="14">
        <f>YEAR(TBL_Employees[[#This Row],[Hire Date]])</f>
        <v>2018</v>
      </c>
    </row>
    <row r="199" spans="1:18" x14ac:dyDescent="0.35">
      <c r="A199" t="s">
        <v>468</v>
      </c>
      <c r="B199" t="s">
        <v>469</v>
      </c>
      <c r="C199" t="s">
        <v>80</v>
      </c>
      <c r="D199" t="s">
        <v>49</v>
      </c>
      <c r="E199" t="s">
        <v>26</v>
      </c>
      <c r="F199" t="s">
        <v>19</v>
      </c>
      <c r="G199" t="s">
        <v>28</v>
      </c>
      <c r="H199">
        <v>36</v>
      </c>
      <c r="I199" s="5">
        <v>41692</v>
      </c>
      <c r="J199" s="11">
        <v>218530</v>
      </c>
      <c r="K199" s="6">
        <v>0.3</v>
      </c>
      <c r="L199" t="s">
        <v>29</v>
      </c>
      <c r="M199" t="s">
        <v>75</v>
      </c>
      <c r="N199" s="5" t="s">
        <v>31</v>
      </c>
      <c r="O199">
        <f>TBL_Employees[[#This Row],[Bonus %]]*TBL_Employees[[#This Row],[Annual Salary]]</f>
        <v>65559</v>
      </c>
      <c r="P199" t="str">
        <f>IF(TBL_Employees[[#This Row],[Age]]&gt;50,"Senior","Junior")</f>
        <v>Junior</v>
      </c>
      <c r="Q199" s="14" t="str">
        <f>IF(OR(D199="IT", J199&gt;100000), "YES", "NO")</f>
        <v>YES</v>
      </c>
      <c r="R199" s="14">
        <f>YEAR(TBL_Employees[[#This Row],[Hire Date]])</f>
        <v>2014</v>
      </c>
    </row>
    <row r="200" spans="1:18" x14ac:dyDescent="0.35">
      <c r="A200" t="s">
        <v>470</v>
      </c>
      <c r="B200" t="s">
        <v>471</v>
      </c>
      <c r="C200" t="s">
        <v>463</v>
      </c>
      <c r="D200" t="s">
        <v>17</v>
      </c>
      <c r="E200" t="s">
        <v>26</v>
      </c>
      <c r="F200" t="s">
        <v>19</v>
      </c>
      <c r="G200" t="s">
        <v>86</v>
      </c>
      <c r="H200">
        <v>36</v>
      </c>
      <c r="I200" s="5">
        <v>43818</v>
      </c>
      <c r="J200" s="11">
        <v>91954</v>
      </c>
      <c r="K200" s="6">
        <v>0</v>
      </c>
      <c r="L200" t="s">
        <v>21</v>
      </c>
      <c r="M200" t="s">
        <v>89</v>
      </c>
      <c r="N200" s="5" t="s">
        <v>31</v>
      </c>
      <c r="O200">
        <f>TBL_Employees[[#This Row],[Bonus %]]*TBL_Employees[[#This Row],[Annual Salary]]</f>
        <v>0</v>
      </c>
      <c r="P200" t="str">
        <f>IF(TBL_Employees[[#This Row],[Age]]&gt;50,"Senior","Junior")</f>
        <v>Junior</v>
      </c>
      <c r="Q200" s="14" t="str">
        <f>IF(OR(D200="IT", J200&gt;100000), "YES", "NO")</f>
        <v>YES</v>
      </c>
      <c r="R200" s="14">
        <f>YEAR(TBL_Employees[[#This Row],[Hire Date]])</f>
        <v>2019</v>
      </c>
    </row>
    <row r="201" spans="1:18" x14ac:dyDescent="0.35">
      <c r="A201" t="s">
        <v>472</v>
      </c>
      <c r="B201" t="s">
        <v>473</v>
      </c>
      <c r="C201" t="s">
        <v>80</v>
      </c>
      <c r="D201" t="s">
        <v>81</v>
      </c>
      <c r="E201" t="s">
        <v>50</v>
      </c>
      <c r="F201" t="s">
        <v>19</v>
      </c>
      <c r="G201" t="s">
        <v>20</v>
      </c>
      <c r="H201">
        <v>30</v>
      </c>
      <c r="I201" s="5">
        <v>42634</v>
      </c>
      <c r="J201" s="11">
        <v>221217</v>
      </c>
      <c r="K201" s="6">
        <v>0.32</v>
      </c>
      <c r="L201" t="s">
        <v>21</v>
      </c>
      <c r="M201" t="s">
        <v>89</v>
      </c>
      <c r="N201" s="5">
        <v>43003</v>
      </c>
      <c r="O201">
        <f>TBL_Employees[[#This Row],[Bonus %]]*TBL_Employees[[#This Row],[Annual Salary]]</f>
        <v>70789.440000000002</v>
      </c>
      <c r="P201" t="str">
        <f>IF(TBL_Employees[[#This Row],[Age]]&gt;50,"Senior","Junior")</f>
        <v>Junior</v>
      </c>
      <c r="Q201" s="14" t="str">
        <f>IF(OR(D201="IT", J201&gt;100000), "YES", "NO")</f>
        <v>YES</v>
      </c>
      <c r="R201" s="14">
        <f>YEAR(TBL_Employees[[#This Row],[Hire Date]])</f>
        <v>2016</v>
      </c>
    </row>
    <row r="202" spans="1:18" x14ac:dyDescent="0.35">
      <c r="A202" t="s">
        <v>474</v>
      </c>
      <c r="B202" t="s">
        <v>475</v>
      </c>
      <c r="C202" t="s">
        <v>300</v>
      </c>
      <c r="D202" t="s">
        <v>17</v>
      </c>
      <c r="E202" t="s">
        <v>26</v>
      </c>
      <c r="F202" t="s">
        <v>27</v>
      </c>
      <c r="G202" t="s">
        <v>86</v>
      </c>
      <c r="H202">
        <v>29</v>
      </c>
      <c r="I202" s="5">
        <v>42866</v>
      </c>
      <c r="J202" s="11">
        <v>87536</v>
      </c>
      <c r="K202" s="6">
        <v>0</v>
      </c>
      <c r="L202" t="s">
        <v>21</v>
      </c>
      <c r="M202" t="s">
        <v>22</v>
      </c>
      <c r="N202" s="5" t="s">
        <v>31</v>
      </c>
      <c r="O202">
        <f>TBL_Employees[[#This Row],[Bonus %]]*TBL_Employees[[#This Row],[Annual Salary]]</f>
        <v>0</v>
      </c>
      <c r="P202" t="str">
        <f>IF(TBL_Employees[[#This Row],[Age]]&gt;50,"Senior","Junior")</f>
        <v>Junior</v>
      </c>
      <c r="Q202" s="14" t="str">
        <f>IF(OR(D202="IT", J202&gt;100000), "YES", "NO")</f>
        <v>YES</v>
      </c>
      <c r="R202" s="14">
        <f>YEAR(TBL_Employees[[#This Row],[Hire Date]])</f>
        <v>2017</v>
      </c>
    </row>
    <row r="203" spans="1:18" x14ac:dyDescent="0.35">
      <c r="A203" t="s">
        <v>476</v>
      </c>
      <c r="B203" t="s">
        <v>477</v>
      </c>
      <c r="C203" t="s">
        <v>56</v>
      </c>
      <c r="D203" t="s">
        <v>49</v>
      </c>
      <c r="E203" t="s">
        <v>50</v>
      </c>
      <c r="F203" t="s">
        <v>19</v>
      </c>
      <c r="G203" t="s">
        <v>86</v>
      </c>
      <c r="H203">
        <v>47</v>
      </c>
      <c r="I203" s="5">
        <v>42164</v>
      </c>
      <c r="J203" s="11">
        <v>41429</v>
      </c>
      <c r="K203" s="6">
        <v>0</v>
      </c>
      <c r="L203" t="s">
        <v>21</v>
      </c>
      <c r="M203" t="s">
        <v>22</v>
      </c>
      <c r="N203" s="5" t="s">
        <v>31</v>
      </c>
      <c r="O203">
        <f>TBL_Employees[[#This Row],[Bonus %]]*TBL_Employees[[#This Row],[Annual Salary]]</f>
        <v>0</v>
      </c>
      <c r="P203" t="str">
        <f>IF(TBL_Employees[[#This Row],[Age]]&gt;50,"Senior","Junior")</f>
        <v>Junior</v>
      </c>
      <c r="Q203" s="14" t="str">
        <f>IF(OR(D203="IT", J203&gt;100000), "YES", "NO")</f>
        <v>NO</v>
      </c>
      <c r="R203" s="14">
        <f>YEAR(TBL_Employees[[#This Row],[Hire Date]])</f>
        <v>2015</v>
      </c>
    </row>
    <row r="204" spans="1:18" x14ac:dyDescent="0.35">
      <c r="A204" t="s">
        <v>478</v>
      </c>
      <c r="B204" t="s">
        <v>479</v>
      </c>
      <c r="C204" t="s">
        <v>80</v>
      </c>
      <c r="D204" t="s">
        <v>70</v>
      </c>
      <c r="E204" t="s">
        <v>26</v>
      </c>
      <c r="F204" t="s">
        <v>27</v>
      </c>
      <c r="G204" t="s">
        <v>28</v>
      </c>
      <c r="H204">
        <v>35</v>
      </c>
      <c r="I204" s="5">
        <v>40826</v>
      </c>
      <c r="J204" s="11">
        <v>245482</v>
      </c>
      <c r="K204" s="6">
        <v>0.39</v>
      </c>
      <c r="L204" t="s">
        <v>21</v>
      </c>
      <c r="M204" t="s">
        <v>22</v>
      </c>
      <c r="N204" s="5" t="s">
        <v>31</v>
      </c>
      <c r="O204">
        <f>TBL_Employees[[#This Row],[Bonus %]]*TBL_Employees[[#This Row],[Annual Salary]]</f>
        <v>95737.98000000001</v>
      </c>
      <c r="P204" t="str">
        <f>IF(TBL_Employees[[#This Row],[Age]]&gt;50,"Senior","Junior")</f>
        <v>Junior</v>
      </c>
      <c r="Q204" s="14" t="str">
        <f>IF(OR(D204="IT", J204&gt;100000), "YES", "NO")</f>
        <v>YES</v>
      </c>
      <c r="R204" s="14">
        <f>YEAR(TBL_Employees[[#This Row],[Hire Date]])</f>
        <v>2011</v>
      </c>
    </row>
    <row r="205" spans="1:18" x14ac:dyDescent="0.35">
      <c r="A205" t="s">
        <v>480</v>
      </c>
      <c r="B205" t="s">
        <v>481</v>
      </c>
      <c r="C205" t="s">
        <v>278</v>
      </c>
      <c r="D205" t="s">
        <v>70</v>
      </c>
      <c r="E205" t="s">
        <v>26</v>
      </c>
      <c r="F205" t="s">
        <v>19</v>
      </c>
      <c r="G205" t="s">
        <v>37</v>
      </c>
      <c r="H205">
        <v>25</v>
      </c>
      <c r="I205" s="5">
        <v>43850</v>
      </c>
      <c r="J205" s="11">
        <v>71359</v>
      </c>
      <c r="K205" s="6">
        <v>0</v>
      </c>
      <c r="L205" t="s">
        <v>21</v>
      </c>
      <c r="M205" t="s">
        <v>45</v>
      </c>
      <c r="N205" s="5" t="s">
        <v>31</v>
      </c>
      <c r="O205">
        <f>TBL_Employees[[#This Row],[Bonus %]]*TBL_Employees[[#This Row],[Annual Salary]]</f>
        <v>0</v>
      </c>
      <c r="P205" t="str">
        <f>IF(TBL_Employees[[#This Row],[Age]]&gt;50,"Senior","Junior")</f>
        <v>Junior</v>
      </c>
      <c r="Q205" s="14" t="str">
        <f>IF(OR(D205="IT", J205&gt;100000), "YES", "NO")</f>
        <v>NO</v>
      </c>
      <c r="R205" s="14">
        <f>YEAR(TBL_Employees[[#This Row],[Hire Date]])</f>
        <v>2020</v>
      </c>
    </row>
    <row r="206" spans="1:18" x14ac:dyDescent="0.35">
      <c r="A206" t="s">
        <v>482</v>
      </c>
      <c r="B206" t="s">
        <v>483</v>
      </c>
      <c r="C206" t="s">
        <v>34</v>
      </c>
      <c r="D206" t="s">
        <v>70</v>
      </c>
      <c r="E206" t="s">
        <v>36</v>
      </c>
      <c r="F206" t="s">
        <v>27</v>
      </c>
      <c r="G206" t="s">
        <v>28</v>
      </c>
      <c r="H206">
        <v>45</v>
      </c>
      <c r="I206" s="5">
        <v>41879</v>
      </c>
      <c r="J206" s="11">
        <v>183161</v>
      </c>
      <c r="K206" s="6">
        <v>0.22</v>
      </c>
      <c r="L206" t="s">
        <v>21</v>
      </c>
      <c r="M206" t="s">
        <v>57</v>
      </c>
      <c r="N206" s="5" t="s">
        <v>31</v>
      </c>
      <c r="O206">
        <f>TBL_Employees[[#This Row],[Bonus %]]*TBL_Employees[[#This Row],[Annual Salary]]</f>
        <v>40295.42</v>
      </c>
      <c r="P206" t="str">
        <f>IF(TBL_Employees[[#This Row],[Age]]&gt;50,"Senior","Junior")</f>
        <v>Junior</v>
      </c>
      <c r="Q206" s="14" t="str">
        <f>IF(OR(D206="IT", J206&gt;100000), "YES", "NO")</f>
        <v>YES</v>
      </c>
      <c r="R206" s="14">
        <f>YEAR(TBL_Employees[[#This Row],[Hire Date]])</f>
        <v>2014</v>
      </c>
    </row>
    <row r="207" spans="1:18" x14ac:dyDescent="0.35">
      <c r="A207" t="s">
        <v>484</v>
      </c>
      <c r="B207" t="s">
        <v>485</v>
      </c>
      <c r="C207" t="s">
        <v>486</v>
      </c>
      <c r="D207" t="s">
        <v>17</v>
      </c>
      <c r="E207" t="s">
        <v>50</v>
      </c>
      <c r="F207" t="s">
        <v>27</v>
      </c>
      <c r="G207" t="s">
        <v>37</v>
      </c>
      <c r="H207">
        <v>58</v>
      </c>
      <c r="I207" s="5">
        <v>34176</v>
      </c>
      <c r="J207" s="11">
        <v>69260</v>
      </c>
      <c r="K207" s="6">
        <v>0</v>
      </c>
      <c r="L207" t="s">
        <v>21</v>
      </c>
      <c r="M207" t="s">
        <v>45</v>
      </c>
      <c r="N207" s="5" t="s">
        <v>31</v>
      </c>
      <c r="O207">
        <f>TBL_Employees[[#This Row],[Bonus %]]*TBL_Employees[[#This Row],[Annual Salary]]</f>
        <v>0</v>
      </c>
      <c r="P207" t="str">
        <f>IF(TBL_Employees[[#This Row],[Age]]&gt;50,"Senior","Junior")</f>
        <v>Senior</v>
      </c>
      <c r="Q207" s="14" t="str">
        <f>IF(OR(D207="IT", J207&gt;100000), "YES", "NO")</f>
        <v>YES</v>
      </c>
      <c r="R207" s="14">
        <f>YEAR(TBL_Employees[[#This Row],[Hire Date]])</f>
        <v>1993</v>
      </c>
    </row>
    <row r="208" spans="1:18" x14ac:dyDescent="0.35">
      <c r="A208" t="s">
        <v>487</v>
      </c>
      <c r="B208" t="s">
        <v>488</v>
      </c>
      <c r="C208" t="s">
        <v>182</v>
      </c>
      <c r="D208" t="s">
        <v>70</v>
      </c>
      <c r="E208" t="s">
        <v>36</v>
      </c>
      <c r="F208" t="s">
        <v>27</v>
      </c>
      <c r="G208" t="s">
        <v>37</v>
      </c>
      <c r="H208">
        <v>51</v>
      </c>
      <c r="I208" s="5">
        <v>36442</v>
      </c>
      <c r="J208" s="11">
        <v>95639</v>
      </c>
      <c r="K208" s="6">
        <v>0</v>
      </c>
      <c r="L208" t="s">
        <v>21</v>
      </c>
      <c r="M208" t="s">
        <v>61</v>
      </c>
      <c r="N208" s="5" t="s">
        <v>31</v>
      </c>
      <c r="O208">
        <f>TBL_Employees[[#This Row],[Bonus %]]*TBL_Employees[[#This Row],[Annual Salary]]</f>
        <v>0</v>
      </c>
      <c r="P208" t="str">
        <f>IF(TBL_Employees[[#This Row],[Age]]&gt;50,"Senior","Junior")</f>
        <v>Senior</v>
      </c>
      <c r="Q208" s="14" t="str">
        <f>IF(OR(D208="IT", J208&gt;100000), "YES", "NO")</f>
        <v>NO</v>
      </c>
      <c r="R208" s="14">
        <f>YEAR(TBL_Employees[[#This Row],[Hire Date]])</f>
        <v>1999</v>
      </c>
    </row>
    <row r="209" spans="1:18" x14ac:dyDescent="0.35">
      <c r="A209" t="s">
        <v>489</v>
      </c>
      <c r="B209" t="s">
        <v>490</v>
      </c>
      <c r="C209" t="s">
        <v>53</v>
      </c>
      <c r="D209" t="s">
        <v>66</v>
      </c>
      <c r="E209" t="s">
        <v>18</v>
      </c>
      <c r="F209" t="s">
        <v>27</v>
      </c>
      <c r="G209" t="s">
        <v>28</v>
      </c>
      <c r="H209">
        <v>48</v>
      </c>
      <c r="I209" s="5">
        <v>38168</v>
      </c>
      <c r="J209" s="11">
        <v>120660</v>
      </c>
      <c r="K209" s="6">
        <v>7.0000000000000007E-2</v>
      </c>
      <c r="L209" t="s">
        <v>29</v>
      </c>
      <c r="M209" t="s">
        <v>135</v>
      </c>
      <c r="N209" s="5" t="s">
        <v>31</v>
      </c>
      <c r="O209">
        <f>TBL_Employees[[#This Row],[Bonus %]]*TBL_Employees[[#This Row],[Annual Salary]]</f>
        <v>8446.2000000000007</v>
      </c>
      <c r="P209" t="str">
        <f>IF(TBL_Employees[[#This Row],[Age]]&gt;50,"Senior","Junior")</f>
        <v>Junior</v>
      </c>
      <c r="Q209" s="14" t="str">
        <f>IF(OR(D209="IT", J209&gt;100000), "YES", "NO")</f>
        <v>YES</v>
      </c>
      <c r="R209" s="14">
        <f>YEAR(TBL_Employees[[#This Row],[Hire Date]])</f>
        <v>2004</v>
      </c>
    </row>
    <row r="210" spans="1:18" x14ac:dyDescent="0.35">
      <c r="A210" t="s">
        <v>491</v>
      </c>
      <c r="B210" t="s">
        <v>492</v>
      </c>
      <c r="C210" t="s">
        <v>44</v>
      </c>
      <c r="D210" t="s">
        <v>49</v>
      </c>
      <c r="E210" t="s">
        <v>50</v>
      </c>
      <c r="F210" t="s">
        <v>27</v>
      </c>
      <c r="G210" t="s">
        <v>20</v>
      </c>
      <c r="H210">
        <v>36</v>
      </c>
      <c r="I210" s="5">
        <v>44556</v>
      </c>
      <c r="J210" s="11">
        <v>75119</v>
      </c>
      <c r="K210" s="6">
        <v>0</v>
      </c>
      <c r="L210" t="s">
        <v>21</v>
      </c>
      <c r="M210" t="s">
        <v>38</v>
      </c>
      <c r="N210" s="5" t="s">
        <v>31</v>
      </c>
      <c r="O210">
        <f>TBL_Employees[[#This Row],[Bonus %]]*TBL_Employees[[#This Row],[Annual Salary]]</f>
        <v>0</v>
      </c>
      <c r="P210" t="str">
        <f>IF(TBL_Employees[[#This Row],[Age]]&gt;50,"Senior","Junior")</f>
        <v>Junior</v>
      </c>
      <c r="Q210" s="14" t="str">
        <f>IF(OR(D210="IT", J210&gt;100000), "YES", "NO")</f>
        <v>NO</v>
      </c>
      <c r="R210" s="14">
        <f>YEAR(TBL_Employees[[#This Row],[Hire Date]])</f>
        <v>2021</v>
      </c>
    </row>
    <row r="211" spans="1:18" x14ac:dyDescent="0.35">
      <c r="A211" t="s">
        <v>493</v>
      </c>
      <c r="B211" t="s">
        <v>494</v>
      </c>
      <c r="C211" t="s">
        <v>80</v>
      </c>
      <c r="D211" t="s">
        <v>60</v>
      </c>
      <c r="E211" t="s">
        <v>18</v>
      </c>
      <c r="F211" t="s">
        <v>27</v>
      </c>
      <c r="G211" t="s">
        <v>28</v>
      </c>
      <c r="H211">
        <v>59</v>
      </c>
      <c r="I211" s="5">
        <v>40681</v>
      </c>
      <c r="J211" s="11">
        <v>192213</v>
      </c>
      <c r="K211" s="6">
        <v>0.4</v>
      </c>
      <c r="L211" t="s">
        <v>21</v>
      </c>
      <c r="M211" t="s">
        <v>38</v>
      </c>
      <c r="N211" s="5" t="s">
        <v>31</v>
      </c>
      <c r="O211">
        <f>TBL_Employees[[#This Row],[Bonus %]]*TBL_Employees[[#This Row],[Annual Salary]]</f>
        <v>76885.2</v>
      </c>
      <c r="P211" t="str">
        <f>IF(TBL_Employees[[#This Row],[Age]]&gt;50,"Senior","Junior")</f>
        <v>Senior</v>
      </c>
      <c r="Q211" s="14" t="str">
        <f>IF(OR(D211="IT", J211&gt;100000), "YES", "NO")</f>
        <v>YES</v>
      </c>
      <c r="R211" s="14">
        <f>YEAR(TBL_Employees[[#This Row],[Hire Date]])</f>
        <v>2011</v>
      </c>
    </row>
    <row r="212" spans="1:18" x14ac:dyDescent="0.35">
      <c r="A212" t="s">
        <v>495</v>
      </c>
      <c r="B212" t="s">
        <v>496</v>
      </c>
      <c r="C212" t="s">
        <v>48</v>
      </c>
      <c r="D212" t="s">
        <v>49</v>
      </c>
      <c r="E212" t="s">
        <v>36</v>
      </c>
      <c r="F212" t="s">
        <v>19</v>
      </c>
      <c r="G212" t="s">
        <v>86</v>
      </c>
      <c r="H212">
        <v>45</v>
      </c>
      <c r="I212" s="5">
        <v>41769</v>
      </c>
      <c r="J212" s="11">
        <v>65047</v>
      </c>
      <c r="K212" s="6">
        <v>0</v>
      </c>
      <c r="L212" t="s">
        <v>94</v>
      </c>
      <c r="M212" t="s">
        <v>219</v>
      </c>
      <c r="N212" s="5" t="s">
        <v>31</v>
      </c>
      <c r="O212">
        <f>TBL_Employees[[#This Row],[Bonus %]]*TBL_Employees[[#This Row],[Annual Salary]]</f>
        <v>0</v>
      </c>
      <c r="P212" t="str">
        <f>IF(TBL_Employees[[#This Row],[Age]]&gt;50,"Senior","Junior")</f>
        <v>Junior</v>
      </c>
      <c r="Q212" s="14" t="str">
        <f>IF(OR(D212="IT", J212&gt;100000), "YES", "NO")</f>
        <v>NO</v>
      </c>
      <c r="R212" s="14">
        <f>YEAR(TBL_Employees[[#This Row],[Hire Date]])</f>
        <v>2014</v>
      </c>
    </row>
    <row r="213" spans="1:18" x14ac:dyDescent="0.35">
      <c r="A213" t="s">
        <v>497</v>
      </c>
      <c r="B213" t="s">
        <v>498</v>
      </c>
      <c r="C213" t="s">
        <v>16</v>
      </c>
      <c r="D213" t="s">
        <v>49</v>
      </c>
      <c r="E213" t="s">
        <v>26</v>
      </c>
      <c r="F213" t="s">
        <v>27</v>
      </c>
      <c r="G213" t="s">
        <v>37</v>
      </c>
      <c r="H213">
        <v>29</v>
      </c>
      <c r="I213" s="5">
        <v>42810</v>
      </c>
      <c r="J213" s="11">
        <v>151413</v>
      </c>
      <c r="K213" s="6">
        <v>0.15</v>
      </c>
      <c r="L213" t="s">
        <v>21</v>
      </c>
      <c r="M213" t="s">
        <v>22</v>
      </c>
      <c r="N213" s="5" t="s">
        <v>31</v>
      </c>
      <c r="O213">
        <f>TBL_Employees[[#This Row],[Bonus %]]*TBL_Employees[[#This Row],[Annual Salary]]</f>
        <v>22711.95</v>
      </c>
      <c r="P213" t="str">
        <f>IF(TBL_Employees[[#This Row],[Age]]&gt;50,"Senior","Junior")</f>
        <v>Junior</v>
      </c>
      <c r="Q213" s="14" t="str">
        <f>IF(OR(D213="IT", J213&gt;100000), "YES", "NO")</f>
        <v>YES</v>
      </c>
      <c r="R213" s="14">
        <f>YEAR(TBL_Employees[[#This Row],[Hire Date]])</f>
        <v>2017</v>
      </c>
    </row>
    <row r="214" spans="1:18" x14ac:dyDescent="0.35">
      <c r="A214" t="s">
        <v>499</v>
      </c>
      <c r="B214" t="s">
        <v>500</v>
      </c>
      <c r="C214" t="s">
        <v>44</v>
      </c>
      <c r="D214" t="s">
        <v>60</v>
      </c>
      <c r="E214" t="s">
        <v>36</v>
      </c>
      <c r="F214" t="s">
        <v>27</v>
      </c>
      <c r="G214" t="s">
        <v>37</v>
      </c>
      <c r="H214">
        <v>62</v>
      </c>
      <c r="I214" s="5">
        <v>37733</v>
      </c>
      <c r="J214" s="11">
        <v>76906</v>
      </c>
      <c r="K214" s="6">
        <v>0</v>
      </c>
      <c r="L214" t="s">
        <v>21</v>
      </c>
      <c r="M214" t="s">
        <v>22</v>
      </c>
      <c r="N214" s="5" t="s">
        <v>31</v>
      </c>
      <c r="O214">
        <f>TBL_Employees[[#This Row],[Bonus %]]*TBL_Employees[[#This Row],[Annual Salary]]</f>
        <v>0</v>
      </c>
      <c r="P214" t="str">
        <f>IF(TBL_Employees[[#This Row],[Age]]&gt;50,"Senior","Junior")</f>
        <v>Senior</v>
      </c>
      <c r="Q214" s="14" t="str">
        <f>IF(OR(D214="IT", J214&gt;100000), "YES", "NO")</f>
        <v>NO</v>
      </c>
      <c r="R214" s="14">
        <f>YEAR(TBL_Employees[[#This Row],[Hire Date]])</f>
        <v>2003</v>
      </c>
    </row>
    <row r="215" spans="1:18" x14ac:dyDescent="0.35">
      <c r="A215" t="s">
        <v>501</v>
      </c>
      <c r="B215" t="s">
        <v>502</v>
      </c>
      <c r="C215" t="s">
        <v>53</v>
      </c>
      <c r="D215" t="s">
        <v>17</v>
      </c>
      <c r="E215" t="s">
        <v>50</v>
      </c>
      <c r="F215" t="s">
        <v>27</v>
      </c>
      <c r="G215" t="s">
        <v>28</v>
      </c>
      <c r="H215">
        <v>51</v>
      </c>
      <c r="I215" s="5">
        <v>34388</v>
      </c>
      <c r="J215" s="11">
        <v>122802</v>
      </c>
      <c r="K215" s="6">
        <v>0.05</v>
      </c>
      <c r="L215" t="s">
        <v>29</v>
      </c>
      <c r="M215" t="s">
        <v>75</v>
      </c>
      <c r="N215" s="5" t="s">
        <v>31</v>
      </c>
      <c r="O215">
        <f>TBL_Employees[[#This Row],[Bonus %]]*TBL_Employees[[#This Row],[Annual Salary]]</f>
        <v>6140.1</v>
      </c>
      <c r="P215" t="str">
        <f>IF(TBL_Employees[[#This Row],[Age]]&gt;50,"Senior","Junior")</f>
        <v>Senior</v>
      </c>
      <c r="Q215" s="14" t="str">
        <f>IF(OR(D215="IT", J215&gt;100000), "YES", "NO")</f>
        <v>YES</v>
      </c>
      <c r="R215" s="14">
        <f>YEAR(TBL_Employees[[#This Row],[Hire Date]])</f>
        <v>1994</v>
      </c>
    </row>
    <row r="216" spans="1:18" x14ac:dyDescent="0.35">
      <c r="A216" t="s">
        <v>503</v>
      </c>
      <c r="B216" t="s">
        <v>504</v>
      </c>
      <c r="C216" t="s">
        <v>278</v>
      </c>
      <c r="D216" t="s">
        <v>70</v>
      </c>
      <c r="E216" t="s">
        <v>18</v>
      </c>
      <c r="F216" t="s">
        <v>27</v>
      </c>
      <c r="G216" t="s">
        <v>86</v>
      </c>
      <c r="H216">
        <v>47</v>
      </c>
      <c r="I216" s="5">
        <v>35990</v>
      </c>
      <c r="J216" s="11">
        <v>99091</v>
      </c>
      <c r="K216" s="6">
        <v>0</v>
      </c>
      <c r="L216" t="s">
        <v>21</v>
      </c>
      <c r="M216" t="s">
        <v>61</v>
      </c>
      <c r="N216" s="5" t="s">
        <v>31</v>
      </c>
      <c r="O216">
        <f>TBL_Employees[[#This Row],[Bonus %]]*TBL_Employees[[#This Row],[Annual Salary]]</f>
        <v>0</v>
      </c>
      <c r="P216" t="str">
        <f>IF(TBL_Employees[[#This Row],[Age]]&gt;50,"Senior","Junior")</f>
        <v>Junior</v>
      </c>
      <c r="Q216" s="14" t="str">
        <f>IF(OR(D216="IT", J216&gt;100000), "YES", "NO")</f>
        <v>NO</v>
      </c>
      <c r="R216" s="14">
        <f>YEAR(TBL_Employees[[#This Row],[Hire Date]])</f>
        <v>1998</v>
      </c>
    </row>
    <row r="217" spans="1:18" x14ac:dyDescent="0.35">
      <c r="A217" t="s">
        <v>505</v>
      </c>
      <c r="B217" t="s">
        <v>506</v>
      </c>
      <c r="C217" t="s">
        <v>69</v>
      </c>
      <c r="D217" t="s">
        <v>70</v>
      </c>
      <c r="E217" t="s">
        <v>26</v>
      </c>
      <c r="F217" t="s">
        <v>27</v>
      </c>
      <c r="G217" t="s">
        <v>86</v>
      </c>
      <c r="H217">
        <v>40</v>
      </c>
      <c r="I217" s="5">
        <v>39506</v>
      </c>
      <c r="J217" s="11">
        <v>113987</v>
      </c>
      <c r="K217" s="6">
        <v>0</v>
      </c>
      <c r="L217" t="s">
        <v>94</v>
      </c>
      <c r="M217" t="s">
        <v>95</v>
      </c>
      <c r="N217" s="5" t="s">
        <v>31</v>
      </c>
      <c r="O217">
        <f>TBL_Employees[[#This Row],[Bonus %]]*TBL_Employees[[#This Row],[Annual Salary]]</f>
        <v>0</v>
      </c>
      <c r="P217" t="str">
        <f>IF(TBL_Employees[[#This Row],[Age]]&gt;50,"Senior","Junior")</f>
        <v>Junior</v>
      </c>
      <c r="Q217" s="14" t="str">
        <f>IF(OR(D217="IT", J217&gt;100000), "YES", "NO")</f>
        <v>YES</v>
      </c>
      <c r="R217" s="14">
        <f>YEAR(TBL_Employees[[#This Row],[Hire Date]])</f>
        <v>2008</v>
      </c>
    </row>
    <row r="218" spans="1:18" x14ac:dyDescent="0.35">
      <c r="A218" t="s">
        <v>507</v>
      </c>
      <c r="B218" t="s">
        <v>508</v>
      </c>
      <c r="C218" t="s">
        <v>44</v>
      </c>
      <c r="D218" t="s">
        <v>35</v>
      </c>
      <c r="E218" t="s">
        <v>50</v>
      </c>
      <c r="F218" t="s">
        <v>19</v>
      </c>
      <c r="G218" t="s">
        <v>37</v>
      </c>
      <c r="H218">
        <v>28</v>
      </c>
      <c r="I218" s="5">
        <v>44078</v>
      </c>
      <c r="J218" s="11">
        <v>95045</v>
      </c>
      <c r="K218" s="6">
        <v>0</v>
      </c>
      <c r="L218" t="s">
        <v>21</v>
      </c>
      <c r="M218" t="s">
        <v>38</v>
      </c>
      <c r="N218" s="5" t="s">
        <v>31</v>
      </c>
      <c r="O218">
        <f>TBL_Employees[[#This Row],[Bonus %]]*TBL_Employees[[#This Row],[Annual Salary]]</f>
        <v>0</v>
      </c>
      <c r="P218" t="str">
        <f>IF(TBL_Employees[[#This Row],[Age]]&gt;50,"Senior","Junior")</f>
        <v>Junior</v>
      </c>
      <c r="Q218" s="14" t="str">
        <f>IF(OR(D218="IT", J218&gt;100000), "YES", "NO")</f>
        <v>NO</v>
      </c>
      <c r="R218" s="14">
        <f>YEAR(TBL_Employees[[#This Row],[Hire Date]])</f>
        <v>2020</v>
      </c>
    </row>
    <row r="219" spans="1:18" x14ac:dyDescent="0.35">
      <c r="A219" t="s">
        <v>509</v>
      </c>
      <c r="B219" t="s">
        <v>510</v>
      </c>
      <c r="C219" t="s">
        <v>80</v>
      </c>
      <c r="D219" t="s">
        <v>81</v>
      </c>
      <c r="E219" t="s">
        <v>36</v>
      </c>
      <c r="F219" t="s">
        <v>19</v>
      </c>
      <c r="G219" t="s">
        <v>37</v>
      </c>
      <c r="H219">
        <v>29</v>
      </c>
      <c r="I219" s="5">
        <v>42740</v>
      </c>
      <c r="J219" s="11">
        <v>190401</v>
      </c>
      <c r="K219" s="6">
        <v>0.37</v>
      </c>
      <c r="L219" t="s">
        <v>21</v>
      </c>
      <c r="M219" t="s">
        <v>89</v>
      </c>
      <c r="N219" s="5" t="s">
        <v>31</v>
      </c>
      <c r="O219">
        <f>TBL_Employees[[#This Row],[Bonus %]]*TBL_Employees[[#This Row],[Annual Salary]]</f>
        <v>70448.37</v>
      </c>
      <c r="P219" t="str">
        <f>IF(TBL_Employees[[#This Row],[Age]]&gt;50,"Senior","Junior")</f>
        <v>Junior</v>
      </c>
      <c r="Q219" s="14" t="str">
        <f>IF(OR(D219="IT", J219&gt;100000), "YES", "NO")</f>
        <v>YES</v>
      </c>
      <c r="R219" s="14">
        <f>YEAR(TBL_Employees[[#This Row],[Hire Date]])</f>
        <v>2017</v>
      </c>
    </row>
    <row r="220" spans="1:18" x14ac:dyDescent="0.35">
      <c r="A220" t="s">
        <v>511</v>
      </c>
      <c r="B220" t="s">
        <v>512</v>
      </c>
      <c r="C220" t="s">
        <v>44</v>
      </c>
      <c r="D220" t="s">
        <v>35</v>
      </c>
      <c r="E220" t="s">
        <v>50</v>
      </c>
      <c r="F220" t="s">
        <v>27</v>
      </c>
      <c r="G220" t="s">
        <v>86</v>
      </c>
      <c r="H220">
        <v>46</v>
      </c>
      <c r="I220" s="5">
        <v>41294</v>
      </c>
      <c r="J220" s="11">
        <v>86061</v>
      </c>
      <c r="K220" s="6">
        <v>0</v>
      </c>
      <c r="L220" t="s">
        <v>94</v>
      </c>
      <c r="M220" t="s">
        <v>100</v>
      </c>
      <c r="N220" s="5" t="s">
        <v>31</v>
      </c>
      <c r="O220">
        <f>TBL_Employees[[#This Row],[Bonus %]]*TBL_Employees[[#This Row],[Annual Salary]]</f>
        <v>0</v>
      </c>
      <c r="P220" t="str">
        <f>IF(TBL_Employees[[#This Row],[Age]]&gt;50,"Senior","Junior")</f>
        <v>Junior</v>
      </c>
      <c r="Q220" s="14" t="str">
        <f>IF(OR(D220="IT", J220&gt;100000), "YES", "NO")</f>
        <v>NO</v>
      </c>
      <c r="R220" s="14">
        <f>YEAR(TBL_Employees[[#This Row],[Hire Date]])</f>
        <v>2013</v>
      </c>
    </row>
    <row r="221" spans="1:18" x14ac:dyDescent="0.35">
      <c r="A221" t="s">
        <v>513</v>
      </c>
      <c r="B221" t="s">
        <v>514</v>
      </c>
      <c r="C221" t="s">
        <v>295</v>
      </c>
      <c r="D221" t="s">
        <v>49</v>
      </c>
      <c r="E221" t="s">
        <v>36</v>
      </c>
      <c r="F221" t="s">
        <v>27</v>
      </c>
      <c r="G221" t="s">
        <v>86</v>
      </c>
      <c r="H221">
        <v>45</v>
      </c>
      <c r="I221" s="5">
        <v>44237</v>
      </c>
      <c r="J221" s="11">
        <v>79882</v>
      </c>
      <c r="K221" s="6">
        <v>0</v>
      </c>
      <c r="L221" t="s">
        <v>21</v>
      </c>
      <c r="M221" t="s">
        <v>45</v>
      </c>
      <c r="N221" s="5" t="s">
        <v>31</v>
      </c>
      <c r="O221">
        <f>TBL_Employees[[#This Row],[Bonus %]]*TBL_Employees[[#This Row],[Annual Salary]]</f>
        <v>0</v>
      </c>
      <c r="P221" t="str">
        <f>IF(TBL_Employees[[#This Row],[Age]]&gt;50,"Senior","Junior")</f>
        <v>Junior</v>
      </c>
      <c r="Q221" s="14" t="str">
        <f>IF(OR(D221="IT", J221&gt;100000), "YES", "NO")</f>
        <v>NO</v>
      </c>
      <c r="R221" s="14">
        <f>YEAR(TBL_Employees[[#This Row],[Hire Date]])</f>
        <v>2021</v>
      </c>
    </row>
    <row r="222" spans="1:18" x14ac:dyDescent="0.35">
      <c r="A222" t="s">
        <v>515</v>
      </c>
      <c r="B222" t="s">
        <v>516</v>
      </c>
      <c r="C222" t="s">
        <v>80</v>
      </c>
      <c r="D222" t="s">
        <v>70</v>
      </c>
      <c r="E222" t="s">
        <v>26</v>
      </c>
      <c r="F222" t="s">
        <v>19</v>
      </c>
      <c r="G222" t="s">
        <v>37</v>
      </c>
      <c r="H222">
        <v>30</v>
      </c>
      <c r="I222" s="5">
        <v>43165</v>
      </c>
      <c r="J222" s="11">
        <v>255431</v>
      </c>
      <c r="K222" s="6">
        <v>0.36</v>
      </c>
      <c r="L222" t="s">
        <v>21</v>
      </c>
      <c r="M222" t="s">
        <v>89</v>
      </c>
      <c r="N222" s="5" t="s">
        <v>31</v>
      </c>
      <c r="O222">
        <f>TBL_Employees[[#This Row],[Bonus %]]*TBL_Employees[[#This Row],[Annual Salary]]</f>
        <v>91955.16</v>
      </c>
      <c r="P222" t="str">
        <f>IF(TBL_Employees[[#This Row],[Age]]&gt;50,"Senior","Junior")</f>
        <v>Junior</v>
      </c>
      <c r="Q222" s="14" t="str">
        <f>IF(OR(D222="IT", J222&gt;100000), "YES", "NO")</f>
        <v>YES</v>
      </c>
      <c r="R222" s="14">
        <f>YEAR(TBL_Employees[[#This Row],[Hire Date]])</f>
        <v>2018</v>
      </c>
    </row>
    <row r="223" spans="1:18" x14ac:dyDescent="0.35">
      <c r="A223" t="s">
        <v>517</v>
      </c>
      <c r="B223" t="s">
        <v>518</v>
      </c>
      <c r="C223" t="s">
        <v>463</v>
      </c>
      <c r="D223" t="s">
        <v>17</v>
      </c>
      <c r="E223" t="s">
        <v>26</v>
      </c>
      <c r="F223" t="s">
        <v>19</v>
      </c>
      <c r="G223" t="s">
        <v>28</v>
      </c>
      <c r="H223">
        <v>48</v>
      </c>
      <c r="I223" s="5">
        <v>37855</v>
      </c>
      <c r="J223" s="11">
        <v>82017</v>
      </c>
      <c r="K223" s="6">
        <v>0</v>
      </c>
      <c r="L223" t="s">
        <v>29</v>
      </c>
      <c r="M223" t="s">
        <v>115</v>
      </c>
      <c r="N223" s="5" t="s">
        <v>31</v>
      </c>
      <c r="O223">
        <f>TBL_Employees[[#This Row],[Bonus %]]*TBL_Employees[[#This Row],[Annual Salary]]</f>
        <v>0</v>
      </c>
      <c r="P223" t="str">
        <f>IF(TBL_Employees[[#This Row],[Age]]&gt;50,"Senior","Junior")</f>
        <v>Junior</v>
      </c>
      <c r="Q223" s="14" t="str">
        <f>IF(OR(D223="IT", J223&gt;100000), "YES", "NO")</f>
        <v>YES</v>
      </c>
      <c r="R223" s="14">
        <f>YEAR(TBL_Employees[[#This Row],[Hire Date]])</f>
        <v>2003</v>
      </c>
    </row>
    <row r="224" spans="1:18" x14ac:dyDescent="0.35">
      <c r="A224" t="s">
        <v>519</v>
      </c>
      <c r="B224" t="s">
        <v>520</v>
      </c>
      <c r="C224" t="s">
        <v>56</v>
      </c>
      <c r="D224" t="s">
        <v>35</v>
      </c>
      <c r="E224" t="s">
        <v>26</v>
      </c>
      <c r="F224" t="s">
        <v>19</v>
      </c>
      <c r="G224" t="s">
        <v>37</v>
      </c>
      <c r="H224">
        <v>51</v>
      </c>
      <c r="I224" s="5">
        <v>42753</v>
      </c>
      <c r="J224" s="11">
        <v>53799</v>
      </c>
      <c r="K224" s="6">
        <v>0</v>
      </c>
      <c r="L224" t="s">
        <v>21</v>
      </c>
      <c r="M224" t="s">
        <v>89</v>
      </c>
      <c r="N224" s="5" t="s">
        <v>31</v>
      </c>
      <c r="O224">
        <f>TBL_Employees[[#This Row],[Bonus %]]*TBL_Employees[[#This Row],[Annual Salary]]</f>
        <v>0</v>
      </c>
      <c r="P224" t="str">
        <f>IF(TBL_Employees[[#This Row],[Age]]&gt;50,"Senior","Junior")</f>
        <v>Senior</v>
      </c>
      <c r="Q224" s="14" t="str">
        <f>IF(OR(D224="IT", J224&gt;100000), "YES", "NO")</f>
        <v>NO</v>
      </c>
      <c r="R224" s="14">
        <f>YEAR(TBL_Employees[[#This Row],[Hire Date]])</f>
        <v>2017</v>
      </c>
    </row>
    <row r="225" spans="1:18" x14ac:dyDescent="0.35">
      <c r="A225" t="s">
        <v>521</v>
      </c>
      <c r="B225" t="s">
        <v>522</v>
      </c>
      <c r="C225" t="s">
        <v>44</v>
      </c>
      <c r="D225" t="s">
        <v>49</v>
      </c>
      <c r="E225" t="s">
        <v>50</v>
      </c>
      <c r="F225" t="s">
        <v>19</v>
      </c>
      <c r="G225" t="s">
        <v>37</v>
      </c>
      <c r="H225">
        <v>28</v>
      </c>
      <c r="I225" s="5">
        <v>44380</v>
      </c>
      <c r="J225" s="11">
        <v>82739</v>
      </c>
      <c r="K225" s="6">
        <v>0</v>
      </c>
      <c r="L225" t="s">
        <v>21</v>
      </c>
      <c r="M225" t="s">
        <v>45</v>
      </c>
      <c r="N225" s="5" t="s">
        <v>31</v>
      </c>
      <c r="O225">
        <f>TBL_Employees[[#This Row],[Bonus %]]*TBL_Employees[[#This Row],[Annual Salary]]</f>
        <v>0</v>
      </c>
      <c r="P225" t="str">
        <f>IF(TBL_Employees[[#This Row],[Age]]&gt;50,"Senior","Junior")</f>
        <v>Junior</v>
      </c>
      <c r="Q225" s="14" t="str">
        <f>IF(OR(D225="IT", J225&gt;100000), "YES", "NO")</f>
        <v>NO</v>
      </c>
      <c r="R225" s="14">
        <f>YEAR(TBL_Employees[[#This Row],[Hire Date]])</f>
        <v>2021</v>
      </c>
    </row>
    <row r="226" spans="1:18" x14ac:dyDescent="0.35">
      <c r="A226" t="s">
        <v>523</v>
      </c>
      <c r="B226" t="s">
        <v>524</v>
      </c>
      <c r="C226" t="s">
        <v>208</v>
      </c>
      <c r="D226" t="s">
        <v>17</v>
      </c>
      <c r="E226" t="s">
        <v>26</v>
      </c>
      <c r="F226" t="s">
        <v>19</v>
      </c>
      <c r="G226" t="s">
        <v>37</v>
      </c>
      <c r="H226">
        <v>36</v>
      </c>
      <c r="I226" s="5">
        <v>41789</v>
      </c>
      <c r="J226" s="11">
        <v>99080</v>
      </c>
      <c r="K226" s="6">
        <v>0</v>
      </c>
      <c r="L226" t="s">
        <v>21</v>
      </c>
      <c r="M226" t="s">
        <v>38</v>
      </c>
      <c r="N226" s="5" t="s">
        <v>31</v>
      </c>
      <c r="O226">
        <f>TBL_Employees[[#This Row],[Bonus %]]*TBL_Employees[[#This Row],[Annual Salary]]</f>
        <v>0</v>
      </c>
      <c r="P226" t="str">
        <f>IF(TBL_Employees[[#This Row],[Age]]&gt;50,"Senior","Junior")</f>
        <v>Junior</v>
      </c>
      <c r="Q226" s="14" t="str">
        <f>IF(OR(D226="IT", J226&gt;100000), "YES", "NO")</f>
        <v>YES</v>
      </c>
      <c r="R226" s="14">
        <f>YEAR(TBL_Employees[[#This Row],[Hire Date]])</f>
        <v>2014</v>
      </c>
    </row>
    <row r="227" spans="1:18" x14ac:dyDescent="0.35">
      <c r="A227" t="s">
        <v>525</v>
      </c>
      <c r="B227" t="s">
        <v>526</v>
      </c>
      <c r="C227" t="s">
        <v>295</v>
      </c>
      <c r="D227" t="s">
        <v>49</v>
      </c>
      <c r="E227" t="s">
        <v>50</v>
      </c>
      <c r="F227" t="s">
        <v>19</v>
      </c>
      <c r="G227" t="s">
        <v>28</v>
      </c>
      <c r="H227">
        <v>40</v>
      </c>
      <c r="I227" s="5">
        <v>40563</v>
      </c>
      <c r="J227" s="11">
        <v>96719</v>
      </c>
      <c r="K227" s="6">
        <v>0</v>
      </c>
      <c r="L227" t="s">
        <v>29</v>
      </c>
      <c r="M227" t="s">
        <v>135</v>
      </c>
      <c r="N227" s="5" t="s">
        <v>31</v>
      </c>
      <c r="O227">
        <f>TBL_Employees[[#This Row],[Bonus %]]*TBL_Employees[[#This Row],[Annual Salary]]</f>
        <v>0</v>
      </c>
      <c r="P227" t="str">
        <f>IF(TBL_Employees[[#This Row],[Age]]&gt;50,"Senior","Junior")</f>
        <v>Junior</v>
      </c>
      <c r="Q227" s="14" t="str">
        <f>IF(OR(D227="IT", J227&gt;100000), "YES", "NO")</f>
        <v>NO</v>
      </c>
      <c r="R227" s="14">
        <f>YEAR(TBL_Employees[[#This Row],[Hire Date]])</f>
        <v>2011</v>
      </c>
    </row>
    <row r="228" spans="1:18" x14ac:dyDescent="0.35">
      <c r="A228" t="s">
        <v>527</v>
      </c>
      <c r="B228" t="s">
        <v>528</v>
      </c>
      <c r="C228" t="s">
        <v>34</v>
      </c>
      <c r="D228" t="s">
        <v>66</v>
      </c>
      <c r="E228" t="s">
        <v>18</v>
      </c>
      <c r="F228" t="s">
        <v>19</v>
      </c>
      <c r="G228" t="s">
        <v>37</v>
      </c>
      <c r="H228">
        <v>51</v>
      </c>
      <c r="I228" s="5">
        <v>44283</v>
      </c>
      <c r="J228" s="11">
        <v>180687</v>
      </c>
      <c r="K228" s="6">
        <v>0.19</v>
      </c>
      <c r="L228" t="s">
        <v>21</v>
      </c>
      <c r="M228" t="s">
        <v>45</v>
      </c>
      <c r="N228" s="5" t="s">
        <v>31</v>
      </c>
      <c r="O228">
        <f>TBL_Employees[[#This Row],[Bonus %]]*TBL_Employees[[#This Row],[Annual Salary]]</f>
        <v>34330.53</v>
      </c>
      <c r="P228" t="str">
        <f>IF(TBL_Employees[[#This Row],[Age]]&gt;50,"Senior","Junior")</f>
        <v>Senior</v>
      </c>
      <c r="Q228" s="14" t="str">
        <f>IF(OR(D228="IT", J228&gt;100000), "YES", "NO")</f>
        <v>YES</v>
      </c>
      <c r="R228" s="14">
        <f>YEAR(TBL_Employees[[#This Row],[Hire Date]])</f>
        <v>2021</v>
      </c>
    </row>
    <row r="229" spans="1:18" x14ac:dyDescent="0.35">
      <c r="A229" t="s">
        <v>529</v>
      </c>
      <c r="B229" t="s">
        <v>530</v>
      </c>
      <c r="C229" t="s">
        <v>114</v>
      </c>
      <c r="D229" t="s">
        <v>70</v>
      </c>
      <c r="E229" t="s">
        <v>50</v>
      </c>
      <c r="F229" t="s">
        <v>27</v>
      </c>
      <c r="G229" t="s">
        <v>28</v>
      </c>
      <c r="H229">
        <v>45</v>
      </c>
      <c r="I229" s="5">
        <v>36993</v>
      </c>
      <c r="J229" s="11">
        <v>95743</v>
      </c>
      <c r="K229" s="6">
        <v>0.15</v>
      </c>
      <c r="L229" t="s">
        <v>21</v>
      </c>
      <c r="M229" t="s">
        <v>61</v>
      </c>
      <c r="N229" s="5">
        <v>40193</v>
      </c>
      <c r="O229">
        <f>TBL_Employees[[#This Row],[Bonus %]]*TBL_Employees[[#This Row],[Annual Salary]]</f>
        <v>14361.449999999999</v>
      </c>
      <c r="P229" t="str">
        <f>IF(TBL_Employees[[#This Row],[Age]]&gt;50,"Senior","Junior")</f>
        <v>Junior</v>
      </c>
      <c r="Q229" s="14" t="str">
        <f>IF(OR(D229="IT", J229&gt;100000), "YES", "NO")</f>
        <v>NO</v>
      </c>
      <c r="R229" s="14">
        <f>YEAR(TBL_Employees[[#This Row],[Hire Date]])</f>
        <v>2001</v>
      </c>
    </row>
    <row r="230" spans="1:18" x14ac:dyDescent="0.35">
      <c r="A230" t="s">
        <v>531</v>
      </c>
      <c r="B230" t="s">
        <v>532</v>
      </c>
      <c r="C230" t="s">
        <v>278</v>
      </c>
      <c r="D230" t="s">
        <v>70</v>
      </c>
      <c r="E230" t="s">
        <v>18</v>
      </c>
      <c r="F230" t="s">
        <v>19</v>
      </c>
      <c r="G230" t="s">
        <v>37</v>
      </c>
      <c r="H230">
        <v>44</v>
      </c>
      <c r="I230" s="5">
        <v>40060</v>
      </c>
      <c r="J230" s="11">
        <v>89695</v>
      </c>
      <c r="K230" s="6">
        <v>0</v>
      </c>
      <c r="L230" t="s">
        <v>21</v>
      </c>
      <c r="M230" t="s">
        <v>61</v>
      </c>
      <c r="N230" s="5" t="s">
        <v>31</v>
      </c>
      <c r="O230">
        <f>TBL_Employees[[#This Row],[Bonus %]]*TBL_Employees[[#This Row],[Annual Salary]]</f>
        <v>0</v>
      </c>
      <c r="P230" t="str">
        <f>IF(TBL_Employees[[#This Row],[Age]]&gt;50,"Senior","Junior")</f>
        <v>Junior</v>
      </c>
      <c r="Q230" s="14" t="str">
        <f>IF(OR(D230="IT", J230&gt;100000), "YES", "NO")</f>
        <v>NO</v>
      </c>
      <c r="R230" s="14">
        <f>YEAR(TBL_Employees[[#This Row],[Hire Date]])</f>
        <v>2009</v>
      </c>
    </row>
    <row r="231" spans="1:18" x14ac:dyDescent="0.35">
      <c r="A231" t="s">
        <v>533</v>
      </c>
      <c r="B231" t="s">
        <v>534</v>
      </c>
      <c r="C231" t="s">
        <v>53</v>
      </c>
      <c r="D231" t="s">
        <v>35</v>
      </c>
      <c r="E231" t="s">
        <v>26</v>
      </c>
      <c r="F231" t="s">
        <v>27</v>
      </c>
      <c r="G231" t="s">
        <v>28</v>
      </c>
      <c r="H231">
        <v>64</v>
      </c>
      <c r="I231" s="5">
        <v>35996</v>
      </c>
      <c r="J231" s="11">
        <v>122753</v>
      </c>
      <c r="K231" s="6">
        <v>0.09</v>
      </c>
      <c r="L231" t="s">
        <v>29</v>
      </c>
      <c r="M231" t="s">
        <v>30</v>
      </c>
      <c r="N231" s="5" t="s">
        <v>31</v>
      </c>
      <c r="O231">
        <f>TBL_Employees[[#This Row],[Bonus %]]*TBL_Employees[[#This Row],[Annual Salary]]</f>
        <v>11047.77</v>
      </c>
      <c r="P231" t="str">
        <f>IF(TBL_Employees[[#This Row],[Age]]&gt;50,"Senior","Junior")</f>
        <v>Senior</v>
      </c>
      <c r="Q231" s="14" t="str">
        <f>IF(OR(D231="IT", J231&gt;100000), "YES", "NO")</f>
        <v>YES</v>
      </c>
      <c r="R231" s="14">
        <f>YEAR(TBL_Employees[[#This Row],[Hire Date]])</f>
        <v>1998</v>
      </c>
    </row>
    <row r="232" spans="1:18" x14ac:dyDescent="0.35">
      <c r="A232" t="s">
        <v>535</v>
      </c>
      <c r="B232" t="s">
        <v>536</v>
      </c>
      <c r="C232" t="s">
        <v>144</v>
      </c>
      <c r="D232" t="s">
        <v>66</v>
      </c>
      <c r="E232" t="s">
        <v>18</v>
      </c>
      <c r="F232" t="s">
        <v>27</v>
      </c>
      <c r="G232" t="s">
        <v>37</v>
      </c>
      <c r="H232">
        <v>30</v>
      </c>
      <c r="I232" s="5">
        <v>42078</v>
      </c>
      <c r="J232" s="11">
        <v>93734</v>
      </c>
      <c r="K232" s="6">
        <v>0</v>
      </c>
      <c r="L232" t="s">
        <v>21</v>
      </c>
      <c r="M232" t="s">
        <v>45</v>
      </c>
      <c r="N232" s="5" t="s">
        <v>31</v>
      </c>
      <c r="O232">
        <f>TBL_Employees[[#This Row],[Bonus %]]*TBL_Employees[[#This Row],[Annual Salary]]</f>
        <v>0</v>
      </c>
      <c r="P232" t="str">
        <f>IF(TBL_Employees[[#This Row],[Age]]&gt;50,"Senior","Junior")</f>
        <v>Junior</v>
      </c>
      <c r="Q232" s="14" t="str">
        <f>IF(OR(D232="IT", J232&gt;100000), "YES", "NO")</f>
        <v>NO</v>
      </c>
      <c r="R232" s="14">
        <f>YEAR(TBL_Employees[[#This Row],[Hire Date]])</f>
        <v>2015</v>
      </c>
    </row>
    <row r="233" spans="1:18" x14ac:dyDescent="0.35">
      <c r="A233" t="s">
        <v>537</v>
      </c>
      <c r="B233" t="s">
        <v>538</v>
      </c>
      <c r="C233" t="s">
        <v>56</v>
      </c>
      <c r="D233" t="s">
        <v>60</v>
      </c>
      <c r="E233" t="s">
        <v>50</v>
      </c>
      <c r="F233" t="s">
        <v>27</v>
      </c>
      <c r="G233" t="s">
        <v>28</v>
      </c>
      <c r="H233">
        <v>28</v>
      </c>
      <c r="I233" s="5">
        <v>42867</v>
      </c>
      <c r="J233" s="11">
        <v>52069</v>
      </c>
      <c r="K233" s="6">
        <v>0</v>
      </c>
      <c r="L233" t="s">
        <v>29</v>
      </c>
      <c r="M233" t="s">
        <v>30</v>
      </c>
      <c r="N233" s="5" t="s">
        <v>31</v>
      </c>
      <c r="O233">
        <f>TBL_Employees[[#This Row],[Bonus %]]*TBL_Employees[[#This Row],[Annual Salary]]</f>
        <v>0</v>
      </c>
      <c r="P233" t="str">
        <f>IF(TBL_Employees[[#This Row],[Age]]&gt;50,"Senior","Junior")</f>
        <v>Junior</v>
      </c>
      <c r="Q233" s="14" t="str">
        <f>IF(OR(D233="IT", J233&gt;100000), "YES", "NO")</f>
        <v>NO</v>
      </c>
      <c r="R233" s="14">
        <f>YEAR(TBL_Employees[[#This Row],[Hire Date]])</f>
        <v>2017</v>
      </c>
    </row>
    <row r="234" spans="1:18" x14ac:dyDescent="0.35">
      <c r="A234" t="s">
        <v>539</v>
      </c>
      <c r="B234" t="s">
        <v>540</v>
      </c>
      <c r="C234" t="s">
        <v>80</v>
      </c>
      <c r="D234" t="s">
        <v>60</v>
      </c>
      <c r="E234" t="s">
        <v>50</v>
      </c>
      <c r="F234" t="s">
        <v>19</v>
      </c>
      <c r="G234" t="s">
        <v>86</v>
      </c>
      <c r="H234">
        <v>33</v>
      </c>
      <c r="I234" s="5">
        <v>44181</v>
      </c>
      <c r="J234" s="11">
        <v>258426</v>
      </c>
      <c r="K234" s="6">
        <v>0.4</v>
      </c>
      <c r="L234" t="s">
        <v>94</v>
      </c>
      <c r="M234" t="s">
        <v>100</v>
      </c>
      <c r="N234" s="5" t="s">
        <v>31</v>
      </c>
      <c r="O234">
        <f>TBL_Employees[[#This Row],[Bonus %]]*TBL_Employees[[#This Row],[Annual Salary]]</f>
        <v>103370.40000000001</v>
      </c>
      <c r="P234" t="str">
        <f>IF(TBL_Employees[[#This Row],[Age]]&gt;50,"Senior","Junior")</f>
        <v>Junior</v>
      </c>
      <c r="Q234" s="14" t="str">
        <f>IF(OR(D234="IT", J234&gt;100000), "YES", "NO")</f>
        <v>YES</v>
      </c>
      <c r="R234" s="14">
        <f>YEAR(TBL_Employees[[#This Row],[Hire Date]])</f>
        <v>2020</v>
      </c>
    </row>
    <row r="235" spans="1:18" x14ac:dyDescent="0.35">
      <c r="A235" t="s">
        <v>541</v>
      </c>
      <c r="B235" t="s">
        <v>542</v>
      </c>
      <c r="C235" t="s">
        <v>53</v>
      </c>
      <c r="D235" t="s">
        <v>35</v>
      </c>
      <c r="E235" t="s">
        <v>36</v>
      </c>
      <c r="F235" t="s">
        <v>27</v>
      </c>
      <c r="G235" t="s">
        <v>20</v>
      </c>
      <c r="H235">
        <v>51</v>
      </c>
      <c r="I235" s="5">
        <v>34746</v>
      </c>
      <c r="J235" s="11">
        <v>125375</v>
      </c>
      <c r="K235" s="6">
        <v>0.09</v>
      </c>
      <c r="L235" t="s">
        <v>21</v>
      </c>
      <c r="M235" t="s">
        <v>38</v>
      </c>
      <c r="N235" s="5" t="s">
        <v>31</v>
      </c>
      <c r="O235">
        <f>TBL_Employees[[#This Row],[Bonus %]]*TBL_Employees[[#This Row],[Annual Salary]]</f>
        <v>11283.75</v>
      </c>
      <c r="P235" t="str">
        <f>IF(TBL_Employees[[#This Row],[Age]]&gt;50,"Senior","Junior")</f>
        <v>Senior</v>
      </c>
      <c r="Q235" s="14" t="str">
        <f>IF(OR(D235="IT", J235&gt;100000), "YES", "NO")</f>
        <v>YES</v>
      </c>
      <c r="R235" s="14">
        <f>YEAR(TBL_Employees[[#This Row],[Hire Date]])</f>
        <v>1995</v>
      </c>
    </row>
    <row r="236" spans="1:18" x14ac:dyDescent="0.35">
      <c r="A236" t="s">
        <v>543</v>
      </c>
      <c r="B236" t="s">
        <v>544</v>
      </c>
      <c r="C236" t="s">
        <v>80</v>
      </c>
      <c r="D236" t="s">
        <v>60</v>
      </c>
      <c r="E236" t="s">
        <v>26</v>
      </c>
      <c r="F236" t="s">
        <v>27</v>
      </c>
      <c r="G236" t="s">
        <v>28</v>
      </c>
      <c r="H236">
        <v>25</v>
      </c>
      <c r="I236" s="5">
        <v>44235</v>
      </c>
      <c r="J236" s="11">
        <v>198243</v>
      </c>
      <c r="K236" s="6">
        <v>0.31</v>
      </c>
      <c r="L236" t="s">
        <v>21</v>
      </c>
      <c r="M236" t="s">
        <v>57</v>
      </c>
      <c r="N236" s="5" t="s">
        <v>31</v>
      </c>
      <c r="O236">
        <f>TBL_Employees[[#This Row],[Bonus %]]*TBL_Employees[[#This Row],[Annual Salary]]</f>
        <v>61455.33</v>
      </c>
      <c r="P236" t="str">
        <f>IF(TBL_Employees[[#This Row],[Age]]&gt;50,"Senior","Junior")</f>
        <v>Junior</v>
      </c>
      <c r="Q236" s="14" t="str">
        <f>IF(OR(D236="IT", J236&gt;100000), "YES", "NO")</f>
        <v>YES</v>
      </c>
      <c r="R236" s="14">
        <f>YEAR(TBL_Employees[[#This Row],[Hire Date]])</f>
        <v>2021</v>
      </c>
    </row>
    <row r="237" spans="1:18" x14ac:dyDescent="0.35">
      <c r="A237" t="s">
        <v>545</v>
      </c>
      <c r="B237" t="s">
        <v>546</v>
      </c>
      <c r="C237" t="s">
        <v>224</v>
      </c>
      <c r="D237" t="s">
        <v>70</v>
      </c>
      <c r="E237" t="s">
        <v>18</v>
      </c>
      <c r="F237" t="s">
        <v>19</v>
      </c>
      <c r="G237" t="s">
        <v>86</v>
      </c>
      <c r="H237">
        <v>42</v>
      </c>
      <c r="I237" s="5">
        <v>43062</v>
      </c>
      <c r="J237" s="11">
        <v>96023</v>
      </c>
      <c r="K237" s="6">
        <v>0</v>
      </c>
      <c r="L237" t="s">
        <v>21</v>
      </c>
      <c r="M237" t="s">
        <v>57</v>
      </c>
      <c r="N237" s="5" t="s">
        <v>31</v>
      </c>
      <c r="O237">
        <f>TBL_Employees[[#This Row],[Bonus %]]*TBL_Employees[[#This Row],[Annual Salary]]</f>
        <v>0</v>
      </c>
      <c r="P237" t="str">
        <f>IF(TBL_Employees[[#This Row],[Age]]&gt;50,"Senior","Junior")</f>
        <v>Junior</v>
      </c>
      <c r="Q237" s="14" t="str">
        <f>IF(OR(D237="IT", J237&gt;100000), "YES", "NO")</f>
        <v>NO</v>
      </c>
      <c r="R237" s="14">
        <f>YEAR(TBL_Employees[[#This Row],[Hire Date]])</f>
        <v>2017</v>
      </c>
    </row>
    <row r="238" spans="1:18" x14ac:dyDescent="0.35">
      <c r="A238" t="s">
        <v>547</v>
      </c>
      <c r="B238" t="s">
        <v>548</v>
      </c>
      <c r="C238" t="s">
        <v>44</v>
      </c>
      <c r="D238" t="s">
        <v>81</v>
      </c>
      <c r="E238" t="s">
        <v>18</v>
      </c>
      <c r="F238" t="s">
        <v>19</v>
      </c>
      <c r="G238" t="s">
        <v>37</v>
      </c>
      <c r="H238">
        <v>34</v>
      </c>
      <c r="I238" s="5">
        <v>41085</v>
      </c>
      <c r="J238" s="11">
        <v>83066</v>
      </c>
      <c r="K238" s="6">
        <v>0</v>
      </c>
      <c r="L238" t="s">
        <v>21</v>
      </c>
      <c r="M238" t="s">
        <v>38</v>
      </c>
      <c r="N238" s="5">
        <v>41430</v>
      </c>
      <c r="O238">
        <f>TBL_Employees[[#This Row],[Bonus %]]*TBL_Employees[[#This Row],[Annual Salary]]</f>
        <v>0</v>
      </c>
      <c r="P238" t="str">
        <f>IF(TBL_Employees[[#This Row],[Age]]&gt;50,"Senior","Junior")</f>
        <v>Junior</v>
      </c>
      <c r="Q238" s="14" t="str">
        <f>IF(OR(D238="IT", J238&gt;100000), "YES", "NO")</f>
        <v>NO</v>
      </c>
      <c r="R238" s="14">
        <f>YEAR(TBL_Employees[[#This Row],[Hire Date]])</f>
        <v>2012</v>
      </c>
    </row>
    <row r="239" spans="1:18" x14ac:dyDescent="0.35">
      <c r="A239" t="s">
        <v>549</v>
      </c>
      <c r="B239" t="s">
        <v>550</v>
      </c>
      <c r="C239" t="s">
        <v>125</v>
      </c>
      <c r="D239" t="s">
        <v>49</v>
      </c>
      <c r="E239" t="s">
        <v>18</v>
      </c>
      <c r="F239" t="s">
        <v>19</v>
      </c>
      <c r="G239" t="s">
        <v>86</v>
      </c>
      <c r="H239">
        <v>48</v>
      </c>
      <c r="I239" s="5">
        <v>41773</v>
      </c>
      <c r="J239" s="11">
        <v>61216</v>
      </c>
      <c r="K239" s="6">
        <v>0</v>
      </c>
      <c r="L239" t="s">
        <v>21</v>
      </c>
      <c r="M239" t="s">
        <v>22</v>
      </c>
      <c r="N239" s="5" t="s">
        <v>31</v>
      </c>
      <c r="O239">
        <f>TBL_Employees[[#This Row],[Bonus %]]*TBL_Employees[[#This Row],[Annual Salary]]</f>
        <v>0</v>
      </c>
      <c r="P239" t="str">
        <f>IF(TBL_Employees[[#This Row],[Age]]&gt;50,"Senior","Junior")</f>
        <v>Junior</v>
      </c>
      <c r="Q239" s="14" t="str">
        <f>IF(OR(D239="IT", J239&gt;100000), "YES", "NO")</f>
        <v>NO</v>
      </c>
      <c r="R239" s="14">
        <f>YEAR(TBL_Employees[[#This Row],[Hire Date]])</f>
        <v>2014</v>
      </c>
    </row>
    <row r="240" spans="1:18" x14ac:dyDescent="0.35">
      <c r="A240" t="s">
        <v>551</v>
      </c>
      <c r="B240" t="s">
        <v>552</v>
      </c>
      <c r="C240" t="s">
        <v>16</v>
      </c>
      <c r="D240" t="s">
        <v>60</v>
      </c>
      <c r="E240" t="s">
        <v>50</v>
      </c>
      <c r="F240" t="s">
        <v>27</v>
      </c>
      <c r="G240" t="s">
        <v>37</v>
      </c>
      <c r="H240">
        <v>33</v>
      </c>
      <c r="I240" s="5">
        <v>41315</v>
      </c>
      <c r="J240" s="11">
        <v>144231</v>
      </c>
      <c r="K240" s="6">
        <v>0.14000000000000001</v>
      </c>
      <c r="L240" t="s">
        <v>21</v>
      </c>
      <c r="M240" t="s">
        <v>89</v>
      </c>
      <c r="N240" s="5">
        <v>44029</v>
      </c>
      <c r="O240">
        <f>TBL_Employees[[#This Row],[Bonus %]]*TBL_Employees[[#This Row],[Annual Salary]]</f>
        <v>20192.34</v>
      </c>
      <c r="P240" t="str">
        <f>IF(TBL_Employees[[#This Row],[Age]]&gt;50,"Senior","Junior")</f>
        <v>Junior</v>
      </c>
      <c r="Q240" s="14" t="str">
        <f>IF(OR(D240="IT", J240&gt;100000), "YES", "NO")</f>
        <v>YES</v>
      </c>
      <c r="R240" s="14">
        <f>YEAR(TBL_Employees[[#This Row],[Hire Date]])</f>
        <v>2013</v>
      </c>
    </row>
    <row r="241" spans="1:18" x14ac:dyDescent="0.35">
      <c r="A241" t="s">
        <v>553</v>
      </c>
      <c r="B241" t="s">
        <v>554</v>
      </c>
      <c r="C241" t="s">
        <v>165</v>
      </c>
      <c r="D241" t="s">
        <v>66</v>
      </c>
      <c r="E241" t="s">
        <v>18</v>
      </c>
      <c r="F241" t="s">
        <v>27</v>
      </c>
      <c r="G241" t="s">
        <v>28</v>
      </c>
      <c r="H241">
        <v>41</v>
      </c>
      <c r="I241" s="5">
        <v>39379</v>
      </c>
      <c r="J241" s="11">
        <v>51630</v>
      </c>
      <c r="K241" s="6">
        <v>0</v>
      </c>
      <c r="L241" t="s">
        <v>29</v>
      </c>
      <c r="M241" t="s">
        <v>115</v>
      </c>
      <c r="N241" s="5" t="s">
        <v>31</v>
      </c>
      <c r="O241">
        <f>TBL_Employees[[#This Row],[Bonus %]]*TBL_Employees[[#This Row],[Annual Salary]]</f>
        <v>0</v>
      </c>
      <c r="P241" t="str">
        <f>IF(TBL_Employees[[#This Row],[Age]]&gt;50,"Senior","Junior")</f>
        <v>Junior</v>
      </c>
      <c r="Q241" s="14" t="str">
        <f>IF(OR(D241="IT", J241&gt;100000), "YES", "NO")</f>
        <v>NO</v>
      </c>
      <c r="R241" s="14">
        <f>YEAR(TBL_Employees[[#This Row],[Hire Date]])</f>
        <v>2007</v>
      </c>
    </row>
    <row r="242" spans="1:18" x14ac:dyDescent="0.35">
      <c r="A242" t="s">
        <v>555</v>
      </c>
      <c r="B242" t="s">
        <v>556</v>
      </c>
      <c r="C242" t="s">
        <v>16</v>
      </c>
      <c r="D242" t="s">
        <v>49</v>
      </c>
      <c r="E242" t="s">
        <v>50</v>
      </c>
      <c r="F242" t="s">
        <v>27</v>
      </c>
      <c r="G242" t="s">
        <v>86</v>
      </c>
      <c r="H242">
        <v>55</v>
      </c>
      <c r="I242" s="5">
        <v>41594</v>
      </c>
      <c r="J242" s="11">
        <v>124129</v>
      </c>
      <c r="K242" s="6">
        <v>0.15</v>
      </c>
      <c r="L242" t="s">
        <v>94</v>
      </c>
      <c r="M242" t="s">
        <v>219</v>
      </c>
      <c r="N242" s="5" t="s">
        <v>31</v>
      </c>
      <c r="O242">
        <f>TBL_Employees[[#This Row],[Bonus %]]*TBL_Employees[[#This Row],[Annual Salary]]</f>
        <v>18619.349999999999</v>
      </c>
      <c r="P242" t="str">
        <f>IF(TBL_Employees[[#This Row],[Age]]&gt;50,"Senior","Junior")</f>
        <v>Senior</v>
      </c>
      <c r="Q242" s="14" t="str">
        <f>IF(OR(D242="IT", J242&gt;100000), "YES", "NO")</f>
        <v>YES</v>
      </c>
      <c r="R242" s="14">
        <f>YEAR(TBL_Employees[[#This Row],[Hire Date]])</f>
        <v>2013</v>
      </c>
    </row>
    <row r="243" spans="1:18" x14ac:dyDescent="0.35">
      <c r="A243" t="s">
        <v>557</v>
      </c>
      <c r="B243" t="s">
        <v>558</v>
      </c>
      <c r="C243" t="s">
        <v>224</v>
      </c>
      <c r="D243" t="s">
        <v>70</v>
      </c>
      <c r="E243" t="s">
        <v>26</v>
      </c>
      <c r="F243" t="s">
        <v>27</v>
      </c>
      <c r="G243" t="s">
        <v>86</v>
      </c>
      <c r="H243">
        <v>36</v>
      </c>
      <c r="I243" s="5">
        <v>39912</v>
      </c>
      <c r="J243" s="11">
        <v>60055</v>
      </c>
      <c r="K243" s="6">
        <v>0</v>
      </c>
      <c r="L243" t="s">
        <v>21</v>
      </c>
      <c r="M243" t="s">
        <v>22</v>
      </c>
      <c r="N243" s="5" t="s">
        <v>31</v>
      </c>
      <c r="O243">
        <f>TBL_Employees[[#This Row],[Bonus %]]*TBL_Employees[[#This Row],[Annual Salary]]</f>
        <v>0</v>
      </c>
      <c r="P243" t="str">
        <f>IF(TBL_Employees[[#This Row],[Age]]&gt;50,"Senior","Junior")</f>
        <v>Junior</v>
      </c>
      <c r="Q243" s="14" t="str">
        <f>IF(OR(D243="IT", J243&gt;100000), "YES", "NO")</f>
        <v>NO</v>
      </c>
      <c r="R243" s="14">
        <f>YEAR(TBL_Employees[[#This Row],[Hire Date]])</f>
        <v>2009</v>
      </c>
    </row>
    <row r="244" spans="1:18" x14ac:dyDescent="0.35">
      <c r="A244" t="s">
        <v>559</v>
      </c>
      <c r="B244" t="s">
        <v>560</v>
      </c>
      <c r="C244" t="s">
        <v>34</v>
      </c>
      <c r="D244" t="s">
        <v>70</v>
      </c>
      <c r="E244" t="s">
        <v>18</v>
      </c>
      <c r="F244" t="s">
        <v>27</v>
      </c>
      <c r="G244" t="s">
        <v>86</v>
      </c>
      <c r="H244">
        <v>31</v>
      </c>
      <c r="I244" s="5">
        <v>44069</v>
      </c>
      <c r="J244" s="11">
        <v>189290</v>
      </c>
      <c r="K244" s="6">
        <v>0.22</v>
      </c>
      <c r="L244" t="s">
        <v>94</v>
      </c>
      <c r="M244" t="s">
        <v>219</v>
      </c>
      <c r="N244" s="5">
        <v>44099</v>
      </c>
      <c r="O244">
        <f>TBL_Employees[[#This Row],[Bonus %]]*TBL_Employees[[#This Row],[Annual Salary]]</f>
        <v>41643.800000000003</v>
      </c>
      <c r="P244" t="str">
        <f>IF(TBL_Employees[[#This Row],[Age]]&gt;50,"Senior","Junior")</f>
        <v>Junior</v>
      </c>
      <c r="Q244" s="14" t="str">
        <f>IF(OR(D244="IT", J244&gt;100000), "YES", "NO")</f>
        <v>YES</v>
      </c>
      <c r="R244" s="14">
        <f>YEAR(TBL_Employees[[#This Row],[Hire Date]])</f>
        <v>2020</v>
      </c>
    </row>
    <row r="245" spans="1:18" x14ac:dyDescent="0.35">
      <c r="A245" t="s">
        <v>561</v>
      </c>
      <c r="B245" t="s">
        <v>562</v>
      </c>
      <c r="C245" t="s">
        <v>80</v>
      </c>
      <c r="D245" t="s">
        <v>17</v>
      </c>
      <c r="E245" t="s">
        <v>50</v>
      </c>
      <c r="F245" t="s">
        <v>19</v>
      </c>
      <c r="G245" t="s">
        <v>28</v>
      </c>
      <c r="H245">
        <v>53</v>
      </c>
      <c r="I245" s="5">
        <v>39568</v>
      </c>
      <c r="J245" s="11">
        <v>182202</v>
      </c>
      <c r="K245" s="6">
        <v>0.3</v>
      </c>
      <c r="L245" t="s">
        <v>21</v>
      </c>
      <c r="M245" t="s">
        <v>61</v>
      </c>
      <c r="N245" s="5" t="s">
        <v>31</v>
      </c>
      <c r="O245">
        <f>TBL_Employees[[#This Row],[Bonus %]]*TBL_Employees[[#This Row],[Annual Salary]]</f>
        <v>54660.6</v>
      </c>
      <c r="P245" t="str">
        <f>IF(TBL_Employees[[#This Row],[Age]]&gt;50,"Senior","Junior")</f>
        <v>Senior</v>
      </c>
      <c r="Q245" s="14" t="str">
        <f>IF(OR(D245="IT", J245&gt;100000), "YES", "NO")</f>
        <v>YES</v>
      </c>
      <c r="R245" s="14">
        <f>YEAR(TBL_Employees[[#This Row],[Hire Date]])</f>
        <v>2008</v>
      </c>
    </row>
    <row r="246" spans="1:18" x14ac:dyDescent="0.35">
      <c r="A246" t="s">
        <v>563</v>
      </c>
      <c r="B246" t="s">
        <v>564</v>
      </c>
      <c r="C246" t="s">
        <v>53</v>
      </c>
      <c r="D246" t="s">
        <v>49</v>
      </c>
      <c r="E246" t="s">
        <v>36</v>
      </c>
      <c r="F246" t="s">
        <v>27</v>
      </c>
      <c r="G246" t="s">
        <v>37</v>
      </c>
      <c r="H246">
        <v>43</v>
      </c>
      <c r="I246" s="5">
        <v>38748</v>
      </c>
      <c r="J246" s="11">
        <v>117518</v>
      </c>
      <c r="K246" s="6">
        <v>7.0000000000000007E-2</v>
      </c>
      <c r="L246" t="s">
        <v>21</v>
      </c>
      <c r="M246" t="s">
        <v>22</v>
      </c>
      <c r="N246" s="5" t="s">
        <v>31</v>
      </c>
      <c r="O246">
        <f>TBL_Employees[[#This Row],[Bonus %]]*TBL_Employees[[#This Row],[Annual Salary]]</f>
        <v>8226.26</v>
      </c>
      <c r="P246" t="str">
        <f>IF(TBL_Employees[[#This Row],[Age]]&gt;50,"Senior","Junior")</f>
        <v>Junior</v>
      </c>
      <c r="Q246" s="14" t="str">
        <f>IF(OR(D246="IT", J246&gt;100000), "YES", "NO")</f>
        <v>YES</v>
      </c>
      <c r="R246" s="14">
        <f>YEAR(TBL_Employees[[#This Row],[Hire Date]])</f>
        <v>2006</v>
      </c>
    </row>
    <row r="247" spans="1:18" x14ac:dyDescent="0.35">
      <c r="A247" t="s">
        <v>565</v>
      </c>
      <c r="B247" t="s">
        <v>566</v>
      </c>
      <c r="C247" t="s">
        <v>16</v>
      </c>
      <c r="D247" t="s">
        <v>35</v>
      </c>
      <c r="E247" t="s">
        <v>26</v>
      </c>
      <c r="F247" t="s">
        <v>19</v>
      </c>
      <c r="G247" t="s">
        <v>86</v>
      </c>
      <c r="H247">
        <v>37</v>
      </c>
      <c r="I247" s="5">
        <v>41329</v>
      </c>
      <c r="J247" s="11">
        <v>157474</v>
      </c>
      <c r="K247" s="6">
        <v>0.11</v>
      </c>
      <c r="L247" t="s">
        <v>94</v>
      </c>
      <c r="M247" t="s">
        <v>100</v>
      </c>
      <c r="N247" s="5" t="s">
        <v>31</v>
      </c>
      <c r="O247">
        <f>TBL_Employees[[#This Row],[Bonus %]]*TBL_Employees[[#This Row],[Annual Salary]]</f>
        <v>17322.14</v>
      </c>
      <c r="P247" t="str">
        <f>IF(TBL_Employees[[#This Row],[Age]]&gt;50,"Senior","Junior")</f>
        <v>Junior</v>
      </c>
      <c r="Q247" s="14" t="str">
        <f>IF(OR(D247="IT", J247&gt;100000), "YES", "NO")</f>
        <v>YES</v>
      </c>
      <c r="R247" s="14">
        <f>YEAR(TBL_Employees[[#This Row],[Hire Date]])</f>
        <v>2013</v>
      </c>
    </row>
    <row r="248" spans="1:18" x14ac:dyDescent="0.35">
      <c r="A248" t="s">
        <v>567</v>
      </c>
      <c r="B248" t="s">
        <v>568</v>
      </c>
      <c r="C248" t="s">
        <v>53</v>
      </c>
      <c r="D248" t="s">
        <v>81</v>
      </c>
      <c r="E248" t="s">
        <v>26</v>
      </c>
      <c r="F248" t="s">
        <v>27</v>
      </c>
      <c r="G248" t="s">
        <v>37</v>
      </c>
      <c r="H248">
        <v>38</v>
      </c>
      <c r="I248" s="5">
        <v>39544</v>
      </c>
      <c r="J248" s="11">
        <v>126856</v>
      </c>
      <c r="K248" s="6">
        <v>0.06</v>
      </c>
      <c r="L248" t="s">
        <v>21</v>
      </c>
      <c r="M248" t="s">
        <v>89</v>
      </c>
      <c r="N248" s="5" t="s">
        <v>31</v>
      </c>
      <c r="O248">
        <f>TBL_Employees[[#This Row],[Bonus %]]*TBL_Employees[[#This Row],[Annual Salary]]</f>
        <v>7611.36</v>
      </c>
      <c r="P248" t="str">
        <f>IF(TBL_Employees[[#This Row],[Age]]&gt;50,"Senior","Junior")</f>
        <v>Junior</v>
      </c>
      <c r="Q248" s="14" t="str">
        <f>IF(OR(D248="IT", J248&gt;100000), "YES", "NO")</f>
        <v>YES</v>
      </c>
      <c r="R248" s="14">
        <f>YEAR(TBL_Employees[[#This Row],[Hire Date]])</f>
        <v>2008</v>
      </c>
    </row>
    <row r="249" spans="1:18" x14ac:dyDescent="0.35">
      <c r="A249" t="s">
        <v>569</v>
      </c>
      <c r="B249" t="s">
        <v>570</v>
      </c>
      <c r="C249" t="s">
        <v>16</v>
      </c>
      <c r="D249" t="s">
        <v>60</v>
      </c>
      <c r="E249" t="s">
        <v>26</v>
      </c>
      <c r="F249" t="s">
        <v>19</v>
      </c>
      <c r="G249" t="s">
        <v>28</v>
      </c>
      <c r="H249">
        <v>49</v>
      </c>
      <c r="I249" s="5">
        <v>36983</v>
      </c>
      <c r="J249" s="11">
        <v>129124</v>
      </c>
      <c r="K249" s="6">
        <v>0.12</v>
      </c>
      <c r="L249" t="s">
        <v>29</v>
      </c>
      <c r="M249" t="s">
        <v>75</v>
      </c>
      <c r="N249" s="5" t="s">
        <v>31</v>
      </c>
      <c r="O249">
        <f>TBL_Employees[[#This Row],[Bonus %]]*TBL_Employees[[#This Row],[Annual Salary]]</f>
        <v>15494.88</v>
      </c>
      <c r="P249" t="str">
        <f>IF(TBL_Employees[[#This Row],[Age]]&gt;50,"Senior","Junior")</f>
        <v>Junior</v>
      </c>
      <c r="Q249" s="14" t="str">
        <f>IF(OR(D249="IT", J249&gt;100000), "YES", "NO")</f>
        <v>YES</v>
      </c>
      <c r="R249" s="14">
        <f>YEAR(TBL_Employees[[#This Row],[Hire Date]])</f>
        <v>2001</v>
      </c>
    </row>
    <row r="250" spans="1:18" x14ac:dyDescent="0.35">
      <c r="A250" t="s">
        <v>571</v>
      </c>
      <c r="B250" t="s">
        <v>572</v>
      </c>
      <c r="C250" t="s">
        <v>34</v>
      </c>
      <c r="D250" t="s">
        <v>49</v>
      </c>
      <c r="E250" t="s">
        <v>18</v>
      </c>
      <c r="F250" t="s">
        <v>19</v>
      </c>
      <c r="G250" t="s">
        <v>28</v>
      </c>
      <c r="H250">
        <v>45</v>
      </c>
      <c r="I250" s="5">
        <v>37316</v>
      </c>
      <c r="J250" s="11">
        <v>165181</v>
      </c>
      <c r="K250" s="6">
        <v>0.16</v>
      </c>
      <c r="L250" t="s">
        <v>21</v>
      </c>
      <c r="M250" t="s">
        <v>22</v>
      </c>
      <c r="N250" s="5" t="s">
        <v>31</v>
      </c>
      <c r="O250">
        <f>TBL_Employees[[#This Row],[Bonus %]]*TBL_Employees[[#This Row],[Annual Salary]]</f>
        <v>26428.959999999999</v>
      </c>
      <c r="P250" t="str">
        <f>IF(TBL_Employees[[#This Row],[Age]]&gt;50,"Senior","Junior")</f>
        <v>Junior</v>
      </c>
      <c r="Q250" s="14" t="str">
        <f>IF(OR(D250="IT", J250&gt;100000), "YES", "NO")</f>
        <v>YES</v>
      </c>
      <c r="R250" s="14">
        <f>YEAR(TBL_Employees[[#This Row],[Hire Date]])</f>
        <v>2002</v>
      </c>
    </row>
    <row r="251" spans="1:18" x14ac:dyDescent="0.35">
      <c r="A251" t="s">
        <v>573</v>
      </c>
      <c r="B251" t="s">
        <v>574</v>
      </c>
      <c r="C251" t="s">
        <v>80</v>
      </c>
      <c r="D251" t="s">
        <v>35</v>
      </c>
      <c r="E251" t="s">
        <v>50</v>
      </c>
      <c r="F251" t="s">
        <v>27</v>
      </c>
      <c r="G251" t="s">
        <v>86</v>
      </c>
      <c r="H251">
        <v>50</v>
      </c>
      <c r="I251" s="5">
        <v>38004</v>
      </c>
      <c r="J251" s="11">
        <v>247939</v>
      </c>
      <c r="K251" s="6">
        <v>0.35</v>
      </c>
      <c r="L251" t="s">
        <v>94</v>
      </c>
      <c r="M251" t="s">
        <v>100</v>
      </c>
      <c r="N251" s="5" t="s">
        <v>31</v>
      </c>
      <c r="O251">
        <f>TBL_Employees[[#This Row],[Bonus %]]*TBL_Employees[[#This Row],[Annual Salary]]</f>
        <v>86778.65</v>
      </c>
      <c r="P251" t="str">
        <f>IF(TBL_Employees[[#This Row],[Age]]&gt;50,"Senior","Junior")</f>
        <v>Junior</v>
      </c>
      <c r="Q251" s="14" t="str">
        <f>IF(OR(D251="IT", J251&gt;100000), "YES", "NO")</f>
        <v>YES</v>
      </c>
      <c r="R251" s="14">
        <f>YEAR(TBL_Employees[[#This Row],[Hire Date]])</f>
        <v>2004</v>
      </c>
    </row>
    <row r="252" spans="1:18" x14ac:dyDescent="0.35">
      <c r="A252" t="s">
        <v>575</v>
      </c>
      <c r="B252" t="s">
        <v>576</v>
      </c>
      <c r="C252" t="s">
        <v>34</v>
      </c>
      <c r="D252" t="s">
        <v>70</v>
      </c>
      <c r="E252" t="s">
        <v>36</v>
      </c>
      <c r="F252" t="s">
        <v>27</v>
      </c>
      <c r="G252" t="s">
        <v>86</v>
      </c>
      <c r="H252">
        <v>64</v>
      </c>
      <c r="I252" s="5">
        <v>42972</v>
      </c>
      <c r="J252" s="11">
        <v>169509</v>
      </c>
      <c r="K252" s="6">
        <v>0.18</v>
      </c>
      <c r="L252" t="s">
        <v>94</v>
      </c>
      <c r="M252" t="s">
        <v>95</v>
      </c>
      <c r="N252" s="5" t="s">
        <v>31</v>
      </c>
      <c r="O252">
        <f>TBL_Employees[[#This Row],[Bonus %]]*TBL_Employees[[#This Row],[Annual Salary]]</f>
        <v>30511.62</v>
      </c>
      <c r="P252" t="str">
        <f>IF(TBL_Employees[[#This Row],[Age]]&gt;50,"Senior","Junior")</f>
        <v>Senior</v>
      </c>
      <c r="Q252" s="14" t="str">
        <f>IF(OR(D252="IT", J252&gt;100000), "YES", "NO")</f>
        <v>YES</v>
      </c>
      <c r="R252" s="14">
        <f>YEAR(TBL_Employees[[#This Row],[Hire Date]])</f>
        <v>2017</v>
      </c>
    </row>
    <row r="253" spans="1:18" x14ac:dyDescent="0.35">
      <c r="A253" t="s">
        <v>577</v>
      </c>
      <c r="B253" t="s">
        <v>578</v>
      </c>
      <c r="C253" t="s">
        <v>16</v>
      </c>
      <c r="D253" t="s">
        <v>60</v>
      </c>
      <c r="E253" t="s">
        <v>26</v>
      </c>
      <c r="F253" t="s">
        <v>19</v>
      </c>
      <c r="G253" t="s">
        <v>37</v>
      </c>
      <c r="H253">
        <v>55</v>
      </c>
      <c r="I253" s="5">
        <v>40552</v>
      </c>
      <c r="J253" s="11">
        <v>138521</v>
      </c>
      <c r="K253" s="6">
        <v>0.1</v>
      </c>
      <c r="L253" t="s">
        <v>21</v>
      </c>
      <c r="M253" t="s">
        <v>57</v>
      </c>
      <c r="N253" s="5" t="s">
        <v>31</v>
      </c>
      <c r="O253">
        <f>TBL_Employees[[#This Row],[Bonus %]]*TBL_Employees[[#This Row],[Annual Salary]]</f>
        <v>13852.1</v>
      </c>
      <c r="P253" t="str">
        <f>IF(TBL_Employees[[#This Row],[Age]]&gt;50,"Senior","Junior")</f>
        <v>Senior</v>
      </c>
      <c r="Q253" s="14" t="str">
        <f>IF(OR(D253="IT", J253&gt;100000), "YES", "NO")</f>
        <v>YES</v>
      </c>
      <c r="R253" s="14">
        <f>YEAR(TBL_Employees[[#This Row],[Hire Date]])</f>
        <v>2011</v>
      </c>
    </row>
    <row r="254" spans="1:18" x14ac:dyDescent="0.35">
      <c r="A254" t="s">
        <v>579</v>
      </c>
      <c r="B254" t="s">
        <v>580</v>
      </c>
      <c r="C254" t="s">
        <v>114</v>
      </c>
      <c r="D254" t="s">
        <v>70</v>
      </c>
      <c r="E254" t="s">
        <v>36</v>
      </c>
      <c r="F254" t="s">
        <v>19</v>
      </c>
      <c r="G254" t="s">
        <v>86</v>
      </c>
      <c r="H254">
        <v>45</v>
      </c>
      <c r="I254" s="5">
        <v>41712</v>
      </c>
      <c r="J254" s="11">
        <v>113873</v>
      </c>
      <c r="K254" s="6">
        <v>0.11</v>
      </c>
      <c r="L254" t="s">
        <v>94</v>
      </c>
      <c r="M254" t="s">
        <v>100</v>
      </c>
      <c r="N254" s="5" t="s">
        <v>31</v>
      </c>
      <c r="O254">
        <f>TBL_Employees[[#This Row],[Bonus %]]*TBL_Employees[[#This Row],[Annual Salary]]</f>
        <v>12526.03</v>
      </c>
      <c r="P254" t="str">
        <f>IF(TBL_Employees[[#This Row],[Age]]&gt;50,"Senior","Junior")</f>
        <v>Junior</v>
      </c>
      <c r="Q254" s="14" t="str">
        <f>IF(OR(D254="IT", J254&gt;100000), "YES", "NO")</f>
        <v>YES</v>
      </c>
      <c r="R254" s="14">
        <f>YEAR(TBL_Employees[[#This Row],[Hire Date]])</f>
        <v>2014</v>
      </c>
    </row>
    <row r="255" spans="1:18" x14ac:dyDescent="0.35">
      <c r="A255" t="s">
        <v>581</v>
      </c>
      <c r="B255" t="s">
        <v>582</v>
      </c>
      <c r="C255" t="s">
        <v>132</v>
      </c>
      <c r="D255" t="s">
        <v>17</v>
      </c>
      <c r="E255" t="s">
        <v>50</v>
      </c>
      <c r="F255" t="s">
        <v>19</v>
      </c>
      <c r="G255" t="s">
        <v>20</v>
      </c>
      <c r="H255">
        <v>39</v>
      </c>
      <c r="I255" s="5">
        <v>43229</v>
      </c>
      <c r="J255" s="11">
        <v>73317</v>
      </c>
      <c r="K255" s="6">
        <v>0</v>
      </c>
      <c r="L255" t="s">
        <v>21</v>
      </c>
      <c r="M255" t="s">
        <v>57</v>
      </c>
      <c r="N255" s="5" t="s">
        <v>31</v>
      </c>
      <c r="O255">
        <f>TBL_Employees[[#This Row],[Bonus %]]*TBL_Employees[[#This Row],[Annual Salary]]</f>
        <v>0</v>
      </c>
      <c r="P255" t="str">
        <f>IF(TBL_Employees[[#This Row],[Age]]&gt;50,"Senior","Junior")</f>
        <v>Junior</v>
      </c>
      <c r="Q255" s="14" t="str">
        <f>IF(OR(D255="IT", J255&gt;100000), "YES", "NO")</f>
        <v>YES</v>
      </c>
      <c r="R255" s="14">
        <f>YEAR(TBL_Employees[[#This Row],[Hire Date]])</f>
        <v>2018</v>
      </c>
    </row>
    <row r="256" spans="1:18" x14ac:dyDescent="0.35">
      <c r="A256" t="s">
        <v>583</v>
      </c>
      <c r="B256" t="s">
        <v>584</v>
      </c>
      <c r="C256" t="s">
        <v>463</v>
      </c>
      <c r="D256" t="s">
        <v>17</v>
      </c>
      <c r="E256" t="s">
        <v>36</v>
      </c>
      <c r="F256" t="s">
        <v>19</v>
      </c>
      <c r="G256" t="s">
        <v>28</v>
      </c>
      <c r="H256">
        <v>40</v>
      </c>
      <c r="I256" s="5">
        <v>41451</v>
      </c>
      <c r="J256" s="11">
        <v>69096</v>
      </c>
      <c r="K256" s="6">
        <v>0</v>
      </c>
      <c r="L256" t="s">
        <v>21</v>
      </c>
      <c r="M256" t="s">
        <v>22</v>
      </c>
      <c r="N256" s="5" t="s">
        <v>31</v>
      </c>
      <c r="O256">
        <f>TBL_Employees[[#This Row],[Bonus %]]*TBL_Employees[[#This Row],[Annual Salary]]</f>
        <v>0</v>
      </c>
      <c r="P256" t="str">
        <f>IF(TBL_Employees[[#This Row],[Age]]&gt;50,"Senior","Junior")</f>
        <v>Junior</v>
      </c>
      <c r="Q256" s="14" t="str">
        <f>IF(OR(D256="IT", J256&gt;100000), "YES", "NO")</f>
        <v>YES</v>
      </c>
      <c r="R256" s="14">
        <f>YEAR(TBL_Employees[[#This Row],[Hire Date]])</f>
        <v>2013</v>
      </c>
    </row>
    <row r="257" spans="1:18" x14ac:dyDescent="0.35">
      <c r="A257" t="s">
        <v>585</v>
      </c>
      <c r="B257" t="s">
        <v>586</v>
      </c>
      <c r="C257" t="s">
        <v>144</v>
      </c>
      <c r="D257" t="s">
        <v>66</v>
      </c>
      <c r="E257" t="s">
        <v>26</v>
      </c>
      <c r="F257" t="s">
        <v>27</v>
      </c>
      <c r="G257" t="s">
        <v>86</v>
      </c>
      <c r="H257">
        <v>48</v>
      </c>
      <c r="I257" s="5">
        <v>38454</v>
      </c>
      <c r="J257" s="11">
        <v>87158</v>
      </c>
      <c r="K257" s="6">
        <v>0</v>
      </c>
      <c r="L257" t="s">
        <v>94</v>
      </c>
      <c r="M257" t="s">
        <v>95</v>
      </c>
      <c r="N257" s="5" t="s">
        <v>31</v>
      </c>
      <c r="O257">
        <f>TBL_Employees[[#This Row],[Bonus %]]*TBL_Employees[[#This Row],[Annual Salary]]</f>
        <v>0</v>
      </c>
      <c r="P257" t="str">
        <f>IF(TBL_Employees[[#This Row],[Age]]&gt;50,"Senior","Junior")</f>
        <v>Junior</v>
      </c>
      <c r="Q257" s="14" t="str">
        <f>IF(OR(D257="IT", J257&gt;100000), "YES", "NO")</f>
        <v>NO</v>
      </c>
      <c r="R257" s="14">
        <f>YEAR(TBL_Employees[[#This Row],[Hire Date]])</f>
        <v>2005</v>
      </c>
    </row>
    <row r="258" spans="1:18" x14ac:dyDescent="0.35">
      <c r="A258" t="s">
        <v>587</v>
      </c>
      <c r="B258" t="s">
        <v>588</v>
      </c>
      <c r="C258" t="s">
        <v>224</v>
      </c>
      <c r="D258" t="s">
        <v>70</v>
      </c>
      <c r="E258" t="s">
        <v>50</v>
      </c>
      <c r="F258" t="s">
        <v>27</v>
      </c>
      <c r="G258" t="s">
        <v>86</v>
      </c>
      <c r="H258">
        <v>64</v>
      </c>
      <c r="I258" s="5">
        <v>33875</v>
      </c>
      <c r="J258" s="11">
        <v>70778</v>
      </c>
      <c r="K258" s="6">
        <v>0</v>
      </c>
      <c r="L258" t="s">
        <v>21</v>
      </c>
      <c r="M258" t="s">
        <v>61</v>
      </c>
      <c r="N258" s="5" t="s">
        <v>31</v>
      </c>
      <c r="O258">
        <f>TBL_Employees[[#This Row],[Bonus %]]*TBL_Employees[[#This Row],[Annual Salary]]</f>
        <v>0</v>
      </c>
      <c r="P258" t="str">
        <f>IF(TBL_Employees[[#This Row],[Age]]&gt;50,"Senior","Junior")</f>
        <v>Senior</v>
      </c>
      <c r="Q258" s="14" t="str">
        <f>IF(OR(D258="IT", J258&gt;100000), "YES", "NO")</f>
        <v>NO</v>
      </c>
      <c r="R258" s="14">
        <f>YEAR(TBL_Employees[[#This Row],[Hire Date]])</f>
        <v>1992</v>
      </c>
    </row>
    <row r="259" spans="1:18" x14ac:dyDescent="0.35">
      <c r="A259" t="s">
        <v>589</v>
      </c>
      <c r="B259" t="s">
        <v>590</v>
      </c>
      <c r="C259" t="s">
        <v>34</v>
      </c>
      <c r="D259" t="s">
        <v>66</v>
      </c>
      <c r="E259" t="s">
        <v>36</v>
      </c>
      <c r="F259" t="s">
        <v>19</v>
      </c>
      <c r="G259" t="s">
        <v>86</v>
      </c>
      <c r="H259">
        <v>65</v>
      </c>
      <c r="I259" s="5">
        <v>38130</v>
      </c>
      <c r="J259" s="11">
        <v>153938</v>
      </c>
      <c r="K259" s="6">
        <v>0.2</v>
      </c>
      <c r="L259" t="s">
        <v>21</v>
      </c>
      <c r="M259" t="s">
        <v>45</v>
      </c>
      <c r="N259" s="5" t="s">
        <v>31</v>
      </c>
      <c r="O259">
        <f>TBL_Employees[[#This Row],[Bonus %]]*TBL_Employees[[#This Row],[Annual Salary]]</f>
        <v>30787.600000000002</v>
      </c>
      <c r="P259" t="str">
        <f>IF(TBL_Employees[[#This Row],[Age]]&gt;50,"Senior","Junior")</f>
        <v>Senior</v>
      </c>
      <c r="Q259" s="14" t="str">
        <f>IF(OR(D259="IT", J259&gt;100000), "YES", "NO")</f>
        <v>YES</v>
      </c>
      <c r="R259" s="14">
        <f>YEAR(TBL_Employees[[#This Row],[Hire Date]])</f>
        <v>2004</v>
      </c>
    </row>
    <row r="260" spans="1:18" x14ac:dyDescent="0.35">
      <c r="A260" t="s">
        <v>591</v>
      </c>
      <c r="B260" t="s">
        <v>592</v>
      </c>
      <c r="C260" t="s">
        <v>331</v>
      </c>
      <c r="D260" t="s">
        <v>17</v>
      </c>
      <c r="E260" t="s">
        <v>18</v>
      </c>
      <c r="F260" t="s">
        <v>27</v>
      </c>
      <c r="G260" t="s">
        <v>28</v>
      </c>
      <c r="H260">
        <v>43</v>
      </c>
      <c r="I260" s="5">
        <v>43224</v>
      </c>
      <c r="J260" s="11">
        <v>59888</v>
      </c>
      <c r="K260" s="6">
        <v>0</v>
      </c>
      <c r="L260" t="s">
        <v>29</v>
      </c>
      <c r="M260" t="s">
        <v>115</v>
      </c>
      <c r="N260" s="5" t="s">
        <v>31</v>
      </c>
      <c r="O260">
        <f>TBL_Employees[[#This Row],[Bonus %]]*TBL_Employees[[#This Row],[Annual Salary]]</f>
        <v>0</v>
      </c>
      <c r="P260" t="str">
        <f>IF(TBL_Employees[[#This Row],[Age]]&gt;50,"Senior","Junior")</f>
        <v>Junior</v>
      </c>
      <c r="Q260" s="14" t="str">
        <f>IF(OR(D260="IT", J260&gt;100000), "YES", "NO")</f>
        <v>YES</v>
      </c>
      <c r="R260" s="14">
        <f>YEAR(TBL_Employees[[#This Row],[Hire Date]])</f>
        <v>2018</v>
      </c>
    </row>
    <row r="261" spans="1:18" x14ac:dyDescent="0.35">
      <c r="A261" t="s">
        <v>593</v>
      </c>
      <c r="B261" t="s">
        <v>594</v>
      </c>
      <c r="C261" t="s">
        <v>224</v>
      </c>
      <c r="D261" t="s">
        <v>70</v>
      </c>
      <c r="E261" t="s">
        <v>50</v>
      </c>
      <c r="F261" t="s">
        <v>27</v>
      </c>
      <c r="G261" t="s">
        <v>37</v>
      </c>
      <c r="H261">
        <v>50</v>
      </c>
      <c r="I261" s="5">
        <v>43447</v>
      </c>
      <c r="J261" s="11">
        <v>63098</v>
      </c>
      <c r="K261" s="6">
        <v>0</v>
      </c>
      <c r="L261" t="s">
        <v>21</v>
      </c>
      <c r="M261" t="s">
        <v>89</v>
      </c>
      <c r="N261" s="5" t="s">
        <v>31</v>
      </c>
      <c r="O261">
        <f>TBL_Employees[[#This Row],[Bonus %]]*TBL_Employees[[#This Row],[Annual Salary]]</f>
        <v>0</v>
      </c>
      <c r="P261" t="str">
        <f>IF(TBL_Employees[[#This Row],[Age]]&gt;50,"Senior","Junior")</f>
        <v>Junior</v>
      </c>
      <c r="Q261" s="14" t="str">
        <f>IF(OR(D261="IT", J261&gt;100000), "YES", "NO")</f>
        <v>NO</v>
      </c>
      <c r="R261" s="14">
        <f>YEAR(TBL_Employees[[#This Row],[Hire Date]])</f>
        <v>2018</v>
      </c>
    </row>
    <row r="262" spans="1:18" x14ac:dyDescent="0.35">
      <c r="A262" t="s">
        <v>595</v>
      </c>
      <c r="B262" t="s">
        <v>596</v>
      </c>
      <c r="C262" t="s">
        <v>80</v>
      </c>
      <c r="D262" t="s">
        <v>35</v>
      </c>
      <c r="E262" t="s">
        <v>50</v>
      </c>
      <c r="F262" t="s">
        <v>19</v>
      </c>
      <c r="G262" t="s">
        <v>86</v>
      </c>
      <c r="H262">
        <v>27</v>
      </c>
      <c r="I262" s="5">
        <v>44545</v>
      </c>
      <c r="J262" s="11">
        <v>255369</v>
      </c>
      <c r="K262" s="6">
        <v>0.33</v>
      </c>
      <c r="L262" t="s">
        <v>94</v>
      </c>
      <c r="M262" t="s">
        <v>219</v>
      </c>
      <c r="N262" s="5" t="s">
        <v>31</v>
      </c>
      <c r="O262">
        <f>TBL_Employees[[#This Row],[Bonus %]]*TBL_Employees[[#This Row],[Annual Salary]]</f>
        <v>84271.77</v>
      </c>
      <c r="P262" t="str">
        <f>IF(TBL_Employees[[#This Row],[Age]]&gt;50,"Senior","Junior")</f>
        <v>Junior</v>
      </c>
      <c r="Q262" s="14" t="str">
        <f>IF(OR(D262="IT", J262&gt;100000), "YES", "NO")</f>
        <v>YES</v>
      </c>
      <c r="R262" s="14">
        <f>YEAR(TBL_Employees[[#This Row],[Hire Date]])</f>
        <v>2021</v>
      </c>
    </row>
    <row r="263" spans="1:18" x14ac:dyDescent="0.35">
      <c r="A263" t="s">
        <v>597</v>
      </c>
      <c r="B263" t="s">
        <v>598</v>
      </c>
      <c r="C263" t="s">
        <v>16</v>
      </c>
      <c r="D263" t="s">
        <v>66</v>
      </c>
      <c r="E263" t="s">
        <v>26</v>
      </c>
      <c r="F263" t="s">
        <v>19</v>
      </c>
      <c r="G263" t="s">
        <v>20</v>
      </c>
      <c r="H263">
        <v>55</v>
      </c>
      <c r="I263" s="5">
        <v>38301</v>
      </c>
      <c r="J263" s="11">
        <v>142318</v>
      </c>
      <c r="K263" s="6">
        <v>0.14000000000000001</v>
      </c>
      <c r="L263" t="s">
        <v>21</v>
      </c>
      <c r="M263" t="s">
        <v>38</v>
      </c>
      <c r="N263" s="5" t="s">
        <v>31</v>
      </c>
      <c r="O263">
        <f>TBL_Employees[[#This Row],[Bonus %]]*TBL_Employees[[#This Row],[Annual Salary]]</f>
        <v>19924.52</v>
      </c>
      <c r="P263" t="str">
        <f>IF(TBL_Employees[[#This Row],[Age]]&gt;50,"Senior","Junior")</f>
        <v>Senior</v>
      </c>
      <c r="Q263" s="14" t="str">
        <f>IF(OR(D263="IT", J263&gt;100000), "YES", "NO")</f>
        <v>YES</v>
      </c>
      <c r="R263" s="14">
        <f>YEAR(TBL_Employees[[#This Row],[Hire Date]])</f>
        <v>2004</v>
      </c>
    </row>
    <row r="264" spans="1:18" x14ac:dyDescent="0.35">
      <c r="A264" t="s">
        <v>599</v>
      </c>
      <c r="B264" t="s">
        <v>600</v>
      </c>
      <c r="C264" t="s">
        <v>185</v>
      </c>
      <c r="D264" t="s">
        <v>66</v>
      </c>
      <c r="E264" t="s">
        <v>26</v>
      </c>
      <c r="F264" t="s">
        <v>27</v>
      </c>
      <c r="G264" t="s">
        <v>20</v>
      </c>
      <c r="H264">
        <v>41</v>
      </c>
      <c r="I264" s="5">
        <v>38219</v>
      </c>
      <c r="J264" s="11">
        <v>49186</v>
      </c>
      <c r="K264" s="6">
        <v>0</v>
      </c>
      <c r="L264" t="s">
        <v>21</v>
      </c>
      <c r="M264" t="s">
        <v>61</v>
      </c>
      <c r="N264" s="5">
        <v>39616</v>
      </c>
      <c r="O264">
        <f>TBL_Employees[[#This Row],[Bonus %]]*TBL_Employees[[#This Row],[Annual Salary]]</f>
        <v>0</v>
      </c>
      <c r="P264" t="str">
        <f>IF(TBL_Employees[[#This Row],[Age]]&gt;50,"Senior","Junior")</f>
        <v>Junior</v>
      </c>
      <c r="Q264" s="14" t="str">
        <f>IF(OR(D264="IT", J264&gt;100000), "YES", "NO")</f>
        <v>NO</v>
      </c>
      <c r="R264" s="14">
        <f>YEAR(TBL_Employees[[#This Row],[Hire Date]])</f>
        <v>2004</v>
      </c>
    </row>
    <row r="265" spans="1:18" x14ac:dyDescent="0.35">
      <c r="A265" t="s">
        <v>601</v>
      </c>
      <c r="B265" t="s">
        <v>602</v>
      </c>
      <c r="C265" t="s">
        <v>80</v>
      </c>
      <c r="D265" t="s">
        <v>66</v>
      </c>
      <c r="E265" t="s">
        <v>18</v>
      </c>
      <c r="F265" t="s">
        <v>19</v>
      </c>
      <c r="G265" t="s">
        <v>20</v>
      </c>
      <c r="H265">
        <v>34</v>
      </c>
      <c r="I265" s="5">
        <v>43673</v>
      </c>
      <c r="J265" s="11">
        <v>220937</v>
      </c>
      <c r="K265" s="6">
        <v>0.38</v>
      </c>
      <c r="L265" t="s">
        <v>21</v>
      </c>
      <c r="M265" t="s">
        <v>61</v>
      </c>
      <c r="N265" s="5" t="s">
        <v>31</v>
      </c>
      <c r="O265">
        <f>TBL_Employees[[#This Row],[Bonus %]]*TBL_Employees[[#This Row],[Annual Salary]]</f>
        <v>83956.06</v>
      </c>
      <c r="P265" t="str">
        <f>IF(TBL_Employees[[#This Row],[Age]]&gt;50,"Senior","Junior")</f>
        <v>Junior</v>
      </c>
      <c r="Q265" s="14" t="str">
        <f>IF(OR(D265="IT", J265&gt;100000), "YES", "NO")</f>
        <v>YES</v>
      </c>
      <c r="R265" s="14">
        <f>YEAR(TBL_Employees[[#This Row],[Hire Date]])</f>
        <v>2019</v>
      </c>
    </row>
    <row r="266" spans="1:18" x14ac:dyDescent="0.35">
      <c r="A266" t="s">
        <v>603</v>
      </c>
      <c r="B266" t="s">
        <v>604</v>
      </c>
      <c r="C266" t="s">
        <v>34</v>
      </c>
      <c r="D266" t="s">
        <v>17</v>
      </c>
      <c r="E266" t="s">
        <v>36</v>
      </c>
      <c r="F266" t="s">
        <v>19</v>
      </c>
      <c r="G266" t="s">
        <v>28</v>
      </c>
      <c r="H266">
        <v>47</v>
      </c>
      <c r="I266" s="5">
        <v>41208</v>
      </c>
      <c r="J266" s="11">
        <v>183156</v>
      </c>
      <c r="K266" s="6">
        <v>0.3</v>
      </c>
      <c r="L266" t="s">
        <v>21</v>
      </c>
      <c r="M266" t="s">
        <v>22</v>
      </c>
      <c r="N266" s="5" t="s">
        <v>31</v>
      </c>
      <c r="O266">
        <f>TBL_Employees[[#This Row],[Bonus %]]*TBL_Employees[[#This Row],[Annual Salary]]</f>
        <v>54946.799999999996</v>
      </c>
      <c r="P266" t="str">
        <f>IF(TBL_Employees[[#This Row],[Age]]&gt;50,"Senior","Junior")</f>
        <v>Junior</v>
      </c>
      <c r="Q266" s="14" t="str">
        <f>IF(OR(D266="IT", J266&gt;100000), "YES", "NO")</f>
        <v>YES</v>
      </c>
      <c r="R266" s="14">
        <f>YEAR(TBL_Employees[[#This Row],[Hire Date]])</f>
        <v>2012</v>
      </c>
    </row>
    <row r="267" spans="1:18" x14ac:dyDescent="0.35">
      <c r="A267" t="s">
        <v>605</v>
      </c>
      <c r="B267" t="s">
        <v>606</v>
      </c>
      <c r="C267" t="s">
        <v>80</v>
      </c>
      <c r="D267" t="s">
        <v>17</v>
      </c>
      <c r="E267" t="s">
        <v>36</v>
      </c>
      <c r="F267" t="s">
        <v>19</v>
      </c>
      <c r="G267" t="s">
        <v>86</v>
      </c>
      <c r="H267">
        <v>32</v>
      </c>
      <c r="I267" s="5">
        <v>44034</v>
      </c>
      <c r="J267" s="11">
        <v>192749</v>
      </c>
      <c r="K267" s="6">
        <v>0.31</v>
      </c>
      <c r="L267" t="s">
        <v>21</v>
      </c>
      <c r="M267" t="s">
        <v>38</v>
      </c>
      <c r="N267" s="5" t="s">
        <v>31</v>
      </c>
      <c r="O267">
        <f>TBL_Employees[[#This Row],[Bonus %]]*TBL_Employees[[#This Row],[Annual Salary]]</f>
        <v>59752.19</v>
      </c>
      <c r="P267" t="str">
        <f>IF(TBL_Employees[[#This Row],[Age]]&gt;50,"Senior","Junior")</f>
        <v>Junior</v>
      </c>
      <c r="Q267" s="14" t="str">
        <f>IF(OR(D267="IT", J267&gt;100000), "YES", "NO")</f>
        <v>YES</v>
      </c>
      <c r="R267" s="14">
        <f>YEAR(TBL_Employees[[#This Row],[Hire Date]])</f>
        <v>2020</v>
      </c>
    </row>
    <row r="268" spans="1:18" x14ac:dyDescent="0.35">
      <c r="A268" t="s">
        <v>607</v>
      </c>
      <c r="B268" t="s">
        <v>608</v>
      </c>
      <c r="C268" t="s">
        <v>16</v>
      </c>
      <c r="D268" t="s">
        <v>17</v>
      </c>
      <c r="E268" t="s">
        <v>26</v>
      </c>
      <c r="F268" t="s">
        <v>19</v>
      </c>
      <c r="G268" t="s">
        <v>28</v>
      </c>
      <c r="H268">
        <v>39</v>
      </c>
      <c r="I268" s="5">
        <v>42819</v>
      </c>
      <c r="J268" s="11">
        <v>135325</v>
      </c>
      <c r="K268" s="6">
        <v>0.14000000000000001</v>
      </c>
      <c r="L268" t="s">
        <v>21</v>
      </c>
      <c r="M268" t="s">
        <v>45</v>
      </c>
      <c r="N268" s="5" t="s">
        <v>31</v>
      </c>
      <c r="O268">
        <f>TBL_Employees[[#This Row],[Bonus %]]*TBL_Employees[[#This Row],[Annual Salary]]</f>
        <v>18945.5</v>
      </c>
      <c r="P268" t="str">
        <f>IF(TBL_Employees[[#This Row],[Age]]&gt;50,"Senior","Junior")</f>
        <v>Junior</v>
      </c>
      <c r="Q268" s="14" t="str">
        <f>IF(OR(D268="IT", J268&gt;100000), "YES", "NO")</f>
        <v>YES</v>
      </c>
      <c r="R268" s="14">
        <f>YEAR(TBL_Employees[[#This Row],[Hire Date]])</f>
        <v>2017</v>
      </c>
    </row>
    <row r="269" spans="1:18" x14ac:dyDescent="0.35">
      <c r="A269" t="s">
        <v>609</v>
      </c>
      <c r="B269" t="s">
        <v>610</v>
      </c>
      <c r="C269" t="s">
        <v>44</v>
      </c>
      <c r="D269" t="s">
        <v>49</v>
      </c>
      <c r="E269" t="s">
        <v>36</v>
      </c>
      <c r="F269" t="s">
        <v>19</v>
      </c>
      <c r="G269" t="s">
        <v>37</v>
      </c>
      <c r="H269">
        <v>26</v>
      </c>
      <c r="I269" s="5">
        <v>43752</v>
      </c>
      <c r="J269" s="11">
        <v>79356</v>
      </c>
      <c r="K269" s="6">
        <v>0</v>
      </c>
      <c r="L269" t="s">
        <v>21</v>
      </c>
      <c r="M269" t="s">
        <v>45</v>
      </c>
      <c r="N269" s="5" t="s">
        <v>31</v>
      </c>
      <c r="O269">
        <f>TBL_Employees[[#This Row],[Bonus %]]*TBL_Employees[[#This Row],[Annual Salary]]</f>
        <v>0</v>
      </c>
      <c r="P269" t="str">
        <f>IF(TBL_Employees[[#This Row],[Age]]&gt;50,"Senior","Junior")</f>
        <v>Junior</v>
      </c>
      <c r="Q269" s="14" t="str">
        <f>IF(OR(D269="IT", J269&gt;100000), "YES", "NO")</f>
        <v>NO</v>
      </c>
      <c r="R269" s="14">
        <f>YEAR(TBL_Employees[[#This Row],[Hire Date]])</f>
        <v>2019</v>
      </c>
    </row>
    <row r="270" spans="1:18" x14ac:dyDescent="0.35">
      <c r="A270" t="s">
        <v>611</v>
      </c>
      <c r="B270" t="s">
        <v>612</v>
      </c>
      <c r="C270" t="s">
        <v>278</v>
      </c>
      <c r="D270" t="s">
        <v>70</v>
      </c>
      <c r="E270" t="s">
        <v>26</v>
      </c>
      <c r="F270" t="s">
        <v>27</v>
      </c>
      <c r="G270" t="s">
        <v>20</v>
      </c>
      <c r="H270">
        <v>40</v>
      </c>
      <c r="I270" s="5">
        <v>38540</v>
      </c>
      <c r="J270" s="11">
        <v>74412</v>
      </c>
      <c r="K270" s="6">
        <v>0</v>
      </c>
      <c r="L270" t="s">
        <v>21</v>
      </c>
      <c r="M270" t="s">
        <v>22</v>
      </c>
      <c r="N270" s="5" t="s">
        <v>31</v>
      </c>
      <c r="O270">
        <f>TBL_Employees[[#This Row],[Bonus %]]*TBL_Employees[[#This Row],[Annual Salary]]</f>
        <v>0</v>
      </c>
      <c r="P270" t="str">
        <f>IF(TBL_Employees[[#This Row],[Age]]&gt;50,"Senior","Junior")</f>
        <v>Junior</v>
      </c>
      <c r="Q270" s="14" t="str">
        <f>IF(OR(D270="IT", J270&gt;100000), "YES", "NO")</f>
        <v>NO</v>
      </c>
      <c r="R270" s="14">
        <f>YEAR(TBL_Employees[[#This Row],[Hire Date]])</f>
        <v>2005</v>
      </c>
    </row>
    <row r="271" spans="1:18" x14ac:dyDescent="0.35">
      <c r="A271" t="s">
        <v>233</v>
      </c>
      <c r="B271" t="s">
        <v>613</v>
      </c>
      <c r="C271" t="s">
        <v>41</v>
      </c>
      <c r="D271" t="s">
        <v>17</v>
      </c>
      <c r="E271" t="s">
        <v>26</v>
      </c>
      <c r="F271" t="s">
        <v>19</v>
      </c>
      <c r="G271" t="s">
        <v>86</v>
      </c>
      <c r="H271">
        <v>32</v>
      </c>
      <c r="I271" s="5">
        <v>43010</v>
      </c>
      <c r="J271" s="11">
        <v>61886</v>
      </c>
      <c r="K271" s="6">
        <v>0.09</v>
      </c>
      <c r="L271" t="s">
        <v>94</v>
      </c>
      <c r="M271" t="s">
        <v>100</v>
      </c>
      <c r="N271" s="5" t="s">
        <v>31</v>
      </c>
      <c r="O271">
        <f>TBL_Employees[[#This Row],[Bonus %]]*TBL_Employees[[#This Row],[Annual Salary]]</f>
        <v>5569.74</v>
      </c>
      <c r="P271" t="str">
        <f>IF(TBL_Employees[[#This Row],[Age]]&gt;50,"Senior","Junior")</f>
        <v>Junior</v>
      </c>
      <c r="Q271" s="14" t="str">
        <f>IF(OR(D271="IT", J271&gt;100000), "YES", "NO")</f>
        <v>YES</v>
      </c>
      <c r="R271" s="14">
        <f>YEAR(TBL_Employees[[#This Row],[Hire Date]])</f>
        <v>2017</v>
      </c>
    </row>
    <row r="272" spans="1:18" x14ac:dyDescent="0.35">
      <c r="A272" t="s">
        <v>614</v>
      </c>
      <c r="B272" t="s">
        <v>615</v>
      </c>
      <c r="C272" t="s">
        <v>34</v>
      </c>
      <c r="D272" t="s">
        <v>60</v>
      </c>
      <c r="E272" t="s">
        <v>18</v>
      </c>
      <c r="F272" t="s">
        <v>19</v>
      </c>
      <c r="G272" t="s">
        <v>28</v>
      </c>
      <c r="H272">
        <v>58</v>
      </c>
      <c r="I272" s="5">
        <v>37755</v>
      </c>
      <c r="J272" s="11">
        <v>173071</v>
      </c>
      <c r="K272" s="6">
        <v>0.28999999999999998</v>
      </c>
      <c r="L272" t="s">
        <v>21</v>
      </c>
      <c r="M272" t="s">
        <v>89</v>
      </c>
      <c r="N272" s="5" t="s">
        <v>31</v>
      </c>
      <c r="O272">
        <f>TBL_Employees[[#This Row],[Bonus %]]*TBL_Employees[[#This Row],[Annual Salary]]</f>
        <v>50190.59</v>
      </c>
      <c r="P272" t="str">
        <f>IF(TBL_Employees[[#This Row],[Age]]&gt;50,"Senior","Junior")</f>
        <v>Senior</v>
      </c>
      <c r="Q272" s="14" t="str">
        <f>IF(OR(D272="IT", J272&gt;100000), "YES", "NO")</f>
        <v>YES</v>
      </c>
      <c r="R272" s="14">
        <f>YEAR(TBL_Employees[[#This Row],[Hire Date]])</f>
        <v>2003</v>
      </c>
    </row>
    <row r="273" spans="1:18" x14ac:dyDescent="0.35">
      <c r="A273" t="s">
        <v>616</v>
      </c>
      <c r="B273" t="s">
        <v>617</v>
      </c>
      <c r="C273" t="s">
        <v>176</v>
      </c>
      <c r="D273" t="s">
        <v>70</v>
      </c>
      <c r="E273" t="s">
        <v>18</v>
      </c>
      <c r="F273" t="s">
        <v>19</v>
      </c>
      <c r="G273" t="s">
        <v>37</v>
      </c>
      <c r="H273">
        <v>58</v>
      </c>
      <c r="I273" s="5">
        <v>34999</v>
      </c>
      <c r="J273" s="11">
        <v>70189</v>
      </c>
      <c r="K273" s="6">
        <v>0</v>
      </c>
      <c r="L273" t="s">
        <v>21</v>
      </c>
      <c r="M273" t="s">
        <v>89</v>
      </c>
      <c r="N273" s="5" t="s">
        <v>31</v>
      </c>
      <c r="O273">
        <f>TBL_Employees[[#This Row],[Bonus %]]*TBL_Employees[[#This Row],[Annual Salary]]</f>
        <v>0</v>
      </c>
      <c r="P273" t="str">
        <f>IF(TBL_Employees[[#This Row],[Age]]&gt;50,"Senior","Junior")</f>
        <v>Senior</v>
      </c>
      <c r="Q273" s="14" t="str">
        <f>IF(OR(D273="IT", J273&gt;100000), "YES", "NO")</f>
        <v>NO</v>
      </c>
      <c r="R273" s="14">
        <f>YEAR(TBL_Employees[[#This Row],[Hire Date]])</f>
        <v>1995</v>
      </c>
    </row>
    <row r="274" spans="1:18" x14ac:dyDescent="0.35">
      <c r="A274" t="s">
        <v>618</v>
      </c>
      <c r="B274" t="s">
        <v>619</v>
      </c>
      <c r="C274" t="s">
        <v>80</v>
      </c>
      <c r="D274" t="s">
        <v>49</v>
      </c>
      <c r="E274" t="s">
        <v>18</v>
      </c>
      <c r="F274" t="s">
        <v>19</v>
      </c>
      <c r="G274" t="s">
        <v>86</v>
      </c>
      <c r="H274">
        <v>42</v>
      </c>
      <c r="I274" s="5">
        <v>41528</v>
      </c>
      <c r="J274" s="11">
        <v>181452</v>
      </c>
      <c r="K274" s="6">
        <v>0.3</v>
      </c>
      <c r="L274" t="s">
        <v>21</v>
      </c>
      <c r="M274" t="s">
        <v>89</v>
      </c>
      <c r="N274" s="5" t="s">
        <v>31</v>
      </c>
      <c r="O274">
        <f>TBL_Employees[[#This Row],[Bonus %]]*TBL_Employees[[#This Row],[Annual Salary]]</f>
        <v>54435.6</v>
      </c>
      <c r="P274" t="str">
        <f>IF(TBL_Employees[[#This Row],[Age]]&gt;50,"Senior","Junior")</f>
        <v>Junior</v>
      </c>
      <c r="Q274" s="14" t="str">
        <f>IF(OR(D274="IT", J274&gt;100000), "YES", "NO")</f>
        <v>YES</v>
      </c>
      <c r="R274" s="14">
        <f>YEAR(TBL_Employees[[#This Row],[Hire Date]])</f>
        <v>2013</v>
      </c>
    </row>
    <row r="275" spans="1:18" x14ac:dyDescent="0.35">
      <c r="A275" t="s">
        <v>620</v>
      </c>
      <c r="B275" t="s">
        <v>621</v>
      </c>
      <c r="C275" t="s">
        <v>165</v>
      </c>
      <c r="D275" t="s">
        <v>66</v>
      </c>
      <c r="E275" t="s">
        <v>36</v>
      </c>
      <c r="F275" t="s">
        <v>27</v>
      </c>
      <c r="G275" t="s">
        <v>37</v>
      </c>
      <c r="H275">
        <v>26</v>
      </c>
      <c r="I275" s="5">
        <v>44267</v>
      </c>
      <c r="J275" s="11">
        <v>70369</v>
      </c>
      <c r="K275" s="6">
        <v>0</v>
      </c>
      <c r="L275" t="s">
        <v>21</v>
      </c>
      <c r="M275" t="s">
        <v>22</v>
      </c>
      <c r="N275" s="5" t="s">
        <v>31</v>
      </c>
      <c r="O275">
        <f>TBL_Employees[[#This Row],[Bonus %]]*TBL_Employees[[#This Row],[Annual Salary]]</f>
        <v>0</v>
      </c>
      <c r="P275" t="str">
        <f>IF(TBL_Employees[[#This Row],[Age]]&gt;50,"Senior","Junior")</f>
        <v>Junior</v>
      </c>
      <c r="Q275" s="14" t="str">
        <f>IF(OR(D275="IT", J275&gt;100000), "YES", "NO")</f>
        <v>NO</v>
      </c>
      <c r="R275" s="14">
        <f>YEAR(TBL_Employees[[#This Row],[Hire Date]])</f>
        <v>2021</v>
      </c>
    </row>
    <row r="276" spans="1:18" x14ac:dyDescent="0.35">
      <c r="A276" t="s">
        <v>622</v>
      </c>
      <c r="B276" t="s">
        <v>623</v>
      </c>
      <c r="C276" t="s">
        <v>44</v>
      </c>
      <c r="D276" t="s">
        <v>60</v>
      </c>
      <c r="E276" t="s">
        <v>26</v>
      </c>
      <c r="F276" t="s">
        <v>27</v>
      </c>
      <c r="G276" t="s">
        <v>86</v>
      </c>
      <c r="H276">
        <v>38</v>
      </c>
      <c r="I276" s="5">
        <v>39634</v>
      </c>
      <c r="J276" s="11">
        <v>78056</v>
      </c>
      <c r="K276" s="6">
        <v>0</v>
      </c>
      <c r="L276" t="s">
        <v>94</v>
      </c>
      <c r="M276" t="s">
        <v>219</v>
      </c>
      <c r="N276" s="5" t="s">
        <v>31</v>
      </c>
      <c r="O276">
        <f>TBL_Employees[[#This Row],[Bonus %]]*TBL_Employees[[#This Row],[Annual Salary]]</f>
        <v>0</v>
      </c>
      <c r="P276" t="str">
        <f>IF(TBL_Employees[[#This Row],[Age]]&gt;50,"Senior","Junior")</f>
        <v>Junior</v>
      </c>
      <c r="Q276" s="14" t="str">
        <f>IF(OR(D276="IT", J276&gt;100000), "YES", "NO")</f>
        <v>NO</v>
      </c>
      <c r="R276" s="14">
        <f>YEAR(TBL_Employees[[#This Row],[Hire Date]])</f>
        <v>2008</v>
      </c>
    </row>
    <row r="277" spans="1:18" x14ac:dyDescent="0.35">
      <c r="A277" t="s">
        <v>624</v>
      </c>
      <c r="B277" t="s">
        <v>625</v>
      </c>
      <c r="C277" t="s">
        <v>34</v>
      </c>
      <c r="D277" t="s">
        <v>35</v>
      </c>
      <c r="E277" t="s">
        <v>18</v>
      </c>
      <c r="F277" t="s">
        <v>27</v>
      </c>
      <c r="G277" t="s">
        <v>28</v>
      </c>
      <c r="H277">
        <v>64</v>
      </c>
      <c r="I277" s="5">
        <v>35187</v>
      </c>
      <c r="J277" s="11">
        <v>189933</v>
      </c>
      <c r="K277" s="6">
        <v>0.23</v>
      </c>
      <c r="L277" t="s">
        <v>21</v>
      </c>
      <c r="M277" t="s">
        <v>57</v>
      </c>
      <c r="N277" s="5" t="s">
        <v>31</v>
      </c>
      <c r="O277">
        <f>TBL_Employees[[#This Row],[Bonus %]]*TBL_Employees[[#This Row],[Annual Salary]]</f>
        <v>43684.590000000004</v>
      </c>
      <c r="P277" t="str">
        <f>IF(TBL_Employees[[#This Row],[Age]]&gt;50,"Senior","Junior")</f>
        <v>Senior</v>
      </c>
      <c r="Q277" s="14" t="str">
        <f>IF(OR(D277="IT", J277&gt;100000), "YES", "NO")</f>
        <v>YES</v>
      </c>
      <c r="R277" s="14">
        <f>YEAR(TBL_Employees[[#This Row],[Hire Date]])</f>
        <v>1996</v>
      </c>
    </row>
    <row r="278" spans="1:18" x14ac:dyDescent="0.35">
      <c r="A278" t="s">
        <v>54</v>
      </c>
      <c r="B278" t="s">
        <v>626</v>
      </c>
      <c r="C278" t="s">
        <v>179</v>
      </c>
      <c r="D278" t="s">
        <v>70</v>
      </c>
      <c r="E278" t="s">
        <v>36</v>
      </c>
      <c r="F278" t="s">
        <v>27</v>
      </c>
      <c r="G278" t="s">
        <v>37</v>
      </c>
      <c r="H278">
        <v>38</v>
      </c>
      <c r="I278" s="5">
        <v>40360</v>
      </c>
      <c r="J278" s="11">
        <v>78237</v>
      </c>
      <c r="K278" s="6">
        <v>0</v>
      </c>
      <c r="L278" t="s">
        <v>21</v>
      </c>
      <c r="M278" t="s">
        <v>45</v>
      </c>
      <c r="N278" s="5" t="s">
        <v>31</v>
      </c>
      <c r="O278">
        <f>TBL_Employees[[#This Row],[Bonus %]]*TBL_Employees[[#This Row],[Annual Salary]]</f>
        <v>0</v>
      </c>
      <c r="P278" t="str">
        <f>IF(TBL_Employees[[#This Row],[Age]]&gt;50,"Senior","Junior")</f>
        <v>Junior</v>
      </c>
      <c r="Q278" s="14" t="str">
        <f>IF(OR(D278="IT", J278&gt;100000), "YES", "NO")</f>
        <v>NO</v>
      </c>
      <c r="R278" s="14">
        <f>YEAR(TBL_Employees[[#This Row],[Hire Date]])</f>
        <v>2010</v>
      </c>
    </row>
    <row r="279" spans="1:18" x14ac:dyDescent="0.35">
      <c r="A279" t="s">
        <v>627</v>
      </c>
      <c r="B279" t="s">
        <v>628</v>
      </c>
      <c r="C279" t="s">
        <v>56</v>
      </c>
      <c r="D279" t="s">
        <v>60</v>
      </c>
      <c r="E279" t="s">
        <v>18</v>
      </c>
      <c r="F279" t="s">
        <v>19</v>
      </c>
      <c r="G279" t="s">
        <v>86</v>
      </c>
      <c r="H279">
        <v>55</v>
      </c>
      <c r="I279" s="5">
        <v>35242</v>
      </c>
      <c r="J279" s="11">
        <v>48687</v>
      </c>
      <c r="K279" s="6">
        <v>0</v>
      </c>
      <c r="L279" t="s">
        <v>94</v>
      </c>
      <c r="M279" t="s">
        <v>100</v>
      </c>
      <c r="N279" s="5" t="s">
        <v>31</v>
      </c>
      <c r="O279">
        <f>TBL_Employees[[#This Row],[Bonus %]]*TBL_Employees[[#This Row],[Annual Salary]]</f>
        <v>0</v>
      </c>
      <c r="P279" t="str">
        <f>IF(TBL_Employees[[#This Row],[Age]]&gt;50,"Senior","Junior")</f>
        <v>Senior</v>
      </c>
      <c r="Q279" s="14" t="str">
        <f>IF(OR(D279="IT", J279&gt;100000), "YES", "NO")</f>
        <v>NO</v>
      </c>
      <c r="R279" s="14">
        <f>YEAR(TBL_Employees[[#This Row],[Hire Date]])</f>
        <v>1996</v>
      </c>
    </row>
    <row r="280" spans="1:18" x14ac:dyDescent="0.35">
      <c r="A280" t="s">
        <v>629</v>
      </c>
      <c r="B280" t="s">
        <v>630</v>
      </c>
      <c r="C280" t="s">
        <v>16</v>
      </c>
      <c r="D280" t="s">
        <v>81</v>
      </c>
      <c r="E280" t="s">
        <v>26</v>
      </c>
      <c r="F280" t="s">
        <v>19</v>
      </c>
      <c r="G280" t="s">
        <v>86</v>
      </c>
      <c r="H280">
        <v>45</v>
      </c>
      <c r="I280" s="5">
        <v>38218</v>
      </c>
      <c r="J280" s="11">
        <v>121065</v>
      </c>
      <c r="K280" s="6">
        <v>0.15</v>
      </c>
      <c r="L280" t="s">
        <v>94</v>
      </c>
      <c r="M280" t="s">
        <v>100</v>
      </c>
      <c r="N280" s="5" t="s">
        <v>31</v>
      </c>
      <c r="O280">
        <f>TBL_Employees[[#This Row],[Bonus %]]*TBL_Employees[[#This Row],[Annual Salary]]</f>
        <v>18159.75</v>
      </c>
      <c r="P280" t="str">
        <f>IF(TBL_Employees[[#This Row],[Age]]&gt;50,"Senior","Junior")</f>
        <v>Junior</v>
      </c>
      <c r="Q280" s="14" t="str">
        <f>IF(OR(D280="IT", J280&gt;100000), "YES", "NO")</f>
        <v>YES</v>
      </c>
      <c r="R280" s="14">
        <f>YEAR(TBL_Employees[[#This Row],[Hire Date]])</f>
        <v>2004</v>
      </c>
    </row>
    <row r="281" spans="1:18" x14ac:dyDescent="0.35">
      <c r="A281" t="s">
        <v>631</v>
      </c>
      <c r="B281" t="s">
        <v>632</v>
      </c>
      <c r="C281" t="s">
        <v>44</v>
      </c>
      <c r="D281" t="s">
        <v>49</v>
      </c>
      <c r="E281" t="s">
        <v>50</v>
      </c>
      <c r="F281" t="s">
        <v>27</v>
      </c>
      <c r="G281" t="s">
        <v>20</v>
      </c>
      <c r="H281">
        <v>43</v>
      </c>
      <c r="I281" s="5">
        <v>38093</v>
      </c>
      <c r="J281" s="11">
        <v>94246</v>
      </c>
      <c r="K281" s="6">
        <v>0</v>
      </c>
      <c r="L281" t="s">
        <v>21</v>
      </c>
      <c r="M281" t="s">
        <v>61</v>
      </c>
      <c r="N281" s="5" t="s">
        <v>31</v>
      </c>
      <c r="O281">
        <f>TBL_Employees[[#This Row],[Bonus %]]*TBL_Employees[[#This Row],[Annual Salary]]</f>
        <v>0</v>
      </c>
      <c r="P281" t="str">
        <f>IF(TBL_Employees[[#This Row],[Age]]&gt;50,"Senior","Junior")</f>
        <v>Junior</v>
      </c>
      <c r="Q281" s="14" t="str">
        <f>IF(OR(D281="IT", J281&gt;100000), "YES", "NO")</f>
        <v>NO</v>
      </c>
      <c r="R281" s="14">
        <f>YEAR(TBL_Employees[[#This Row],[Hire Date]])</f>
        <v>2004</v>
      </c>
    </row>
    <row r="282" spans="1:18" x14ac:dyDescent="0.35">
      <c r="A282" t="s">
        <v>291</v>
      </c>
      <c r="B282" t="s">
        <v>633</v>
      </c>
      <c r="C282" t="s">
        <v>331</v>
      </c>
      <c r="D282" t="s">
        <v>17</v>
      </c>
      <c r="E282" t="s">
        <v>26</v>
      </c>
      <c r="F282" t="s">
        <v>19</v>
      </c>
      <c r="G282" t="s">
        <v>28</v>
      </c>
      <c r="H282">
        <v>34</v>
      </c>
      <c r="I282" s="5">
        <v>42512</v>
      </c>
      <c r="J282" s="11">
        <v>44614</v>
      </c>
      <c r="K282" s="6">
        <v>0</v>
      </c>
      <c r="L282" t="s">
        <v>21</v>
      </c>
      <c r="M282" t="s">
        <v>57</v>
      </c>
      <c r="N282" s="5" t="s">
        <v>31</v>
      </c>
      <c r="O282">
        <f>TBL_Employees[[#This Row],[Bonus %]]*TBL_Employees[[#This Row],[Annual Salary]]</f>
        <v>0</v>
      </c>
      <c r="P282" t="str">
        <f>IF(TBL_Employees[[#This Row],[Age]]&gt;50,"Senior","Junior")</f>
        <v>Junior</v>
      </c>
      <c r="Q282" s="14" t="str">
        <f>IF(OR(D282="IT", J282&gt;100000), "YES", "NO")</f>
        <v>YES</v>
      </c>
      <c r="R282" s="14">
        <f>YEAR(TBL_Employees[[#This Row],[Hire Date]])</f>
        <v>2016</v>
      </c>
    </row>
    <row r="283" spans="1:18" x14ac:dyDescent="0.35">
      <c r="A283" t="s">
        <v>634</v>
      </c>
      <c r="B283" t="s">
        <v>635</v>
      </c>
      <c r="C283" t="s">
        <v>80</v>
      </c>
      <c r="D283" t="s">
        <v>17</v>
      </c>
      <c r="E283" t="s">
        <v>18</v>
      </c>
      <c r="F283" t="s">
        <v>27</v>
      </c>
      <c r="G283" t="s">
        <v>28</v>
      </c>
      <c r="H283">
        <v>40</v>
      </c>
      <c r="I283" s="5">
        <v>44143</v>
      </c>
      <c r="J283" s="11">
        <v>234469</v>
      </c>
      <c r="K283" s="6">
        <v>0.31</v>
      </c>
      <c r="L283" t="s">
        <v>29</v>
      </c>
      <c r="M283" t="s">
        <v>135</v>
      </c>
      <c r="N283" s="5" t="s">
        <v>31</v>
      </c>
      <c r="O283">
        <f>TBL_Employees[[#This Row],[Bonus %]]*TBL_Employees[[#This Row],[Annual Salary]]</f>
        <v>72685.39</v>
      </c>
      <c r="P283" t="str">
        <f>IF(TBL_Employees[[#This Row],[Age]]&gt;50,"Senior","Junior")</f>
        <v>Junior</v>
      </c>
      <c r="Q283" s="14" t="str">
        <f>IF(OR(D283="IT", J283&gt;100000), "YES", "NO")</f>
        <v>YES</v>
      </c>
      <c r="R283" s="14">
        <f>YEAR(TBL_Employees[[#This Row],[Hire Date]])</f>
        <v>2020</v>
      </c>
    </row>
    <row r="284" spans="1:18" x14ac:dyDescent="0.35">
      <c r="A284" t="s">
        <v>636</v>
      </c>
      <c r="B284" t="s">
        <v>637</v>
      </c>
      <c r="C284" t="s">
        <v>179</v>
      </c>
      <c r="D284" t="s">
        <v>70</v>
      </c>
      <c r="E284" t="s">
        <v>18</v>
      </c>
      <c r="F284" t="s">
        <v>27</v>
      </c>
      <c r="G284" t="s">
        <v>86</v>
      </c>
      <c r="H284">
        <v>52</v>
      </c>
      <c r="I284" s="5">
        <v>44022</v>
      </c>
      <c r="J284" s="11">
        <v>88272</v>
      </c>
      <c r="K284" s="6">
        <v>0</v>
      </c>
      <c r="L284" t="s">
        <v>94</v>
      </c>
      <c r="M284" t="s">
        <v>219</v>
      </c>
      <c r="N284" s="5" t="s">
        <v>31</v>
      </c>
      <c r="O284">
        <f>TBL_Employees[[#This Row],[Bonus %]]*TBL_Employees[[#This Row],[Annual Salary]]</f>
        <v>0</v>
      </c>
      <c r="P284" t="str">
        <f>IF(TBL_Employees[[#This Row],[Age]]&gt;50,"Senior","Junior")</f>
        <v>Senior</v>
      </c>
      <c r="Q284" s="14" t="str">
        <f>IF(OR(D284="IT", J284&gt;100000), "YES", "NO")</f>
        <v>NO</v>
      </c>
      <c r="R284" s="14">
        <f>YEAR(TBL_Employees[[#This Row],[Hire Date]])</f>
        <v>2020</v>
      </c>
    </row>
    <row r="285" spans="1:18" x14ac:dyDescent="0.35">
      <c r="A285" t="s">
        <v>638</v>
      </c>
      <c r="B285" t="s">
        <v>639</v>
      </c>
      <c r="C285" t="s">
        <v>125</v>
      </c>
      <c r="D285" t="s">
        <v>35</v>
      </c>
      <c r="E285" t="s">
        <v>50</v>
      </c>
      <c r="F285" t="s">
        <v>27</v>
      </c>
      <c r="G285" t="s">
        <v>28</v>
      </c>
      <c r="H285">
        <v>52</v>
      </c>
      <c r="I285" s="5">
        <v>42992</v>
      </c>
      <c r="J285" s="11">
        <v>74449</v>
      </c>
      <c r="K285" s="6">
        <v>0</v>
      </c>
      <c r="L285" t="s">
        <v>29</v>
      </c>
      <c r="M285" t="s">
        <v>115</v>
      </c>
      <c r="N285" s="5" t="s">
        <v>31</v>
      </c>
      <c r="O285">
        <f>TBL_Employees[[#This Row],[Bonus %]]*TBL_Employees[[#This Row],[Annual Salary]]</f>
        <v>0</v>
      </c>
      <c r="P285" t="str">
        <f>IF(TBL_Employees[[#This Row],[Age]]&gt;50,"Senior","Junior")</f>
        <v>Senior</v>
      </c>
      <c r="Q285" s="14" t="str">
        <f>IF(OR(D285="IT", J285&gt;100000), "YES", "NO")</f>
        <v>NO</v>
      </c>
      <c r="R285" s="14">
        <f>YEAR(TBL_Employees[[#This Row],[Hire Date]])</f>
        <v>2017</v>
      </c>
    </row>
    <row r="286" spans="1:18" x14ac:dyDescent="0.35">
      <c r="A286" t="s">
        <v>640</v>
      </c>
      <c r="B286" t="s">
        <v>641</v>
      </c>
      <c r="C286" t="s">
        <v>80</v>
      </c>
      <c r="D286" t="s">
        <v>70</v>
      </c>
      <c r="E286" t="s">
        <v>36</v>
      </c>
      <c r="F286" t="s">
        <v>27</v>
      </c>
      <c r="G286" t="s">
        <v>28</v>
      </c>
      <c r="H286">
        <v>47</v>
      </c>
      <c r="I286" s="5">
        <v>41071</v>
      </c>
      <c r="J286" s="11">
        <v>222941</v>
      </c>
      <c r="K286" s="6">
        <v>0.39</v>
      </c>
      <c r="L286" t="s">
        <v>29</v>
      </c>
      <c r="M286" t="s">
        <v>115</v>
      </c>
      <c r="N286" s="5" t="s">
        <v>31</v>
      </c>
      <c r="O286">
        <f>TBL_Employees[[#This Row],[Bonus %]]*TBL_Employees[[#This Row],[Annual Salary]]</f>
        <v>86946.99</v>
      </c>
      <c r="P286" t="str">
        <f>IF(TBL_Employees[[#This Row],[Age]]&gt;50,"Senior","Junior")</f>
        <v>Junior</v>
      </c>
      <c r="Q286" s="14" t="str">
        <f>IF(OR(D286="IT", J286&gt;100000), "YES", "NO")</f>
        <v>YES</v>
      </c>
      <c r="R286" s="14">
        <f>YEAR(TBL_Employees[[#This Row],[Hire Date]])</f>
        <v>2012</v>
      </c>
    </row>
    <row r="287" spans="1:18" x14ac:dyDescent="0.35">
      <c r="A287" t="s">
        <v>642</v>
      </c>
      <c r="B287" t="s">
        <v>643</v>
      </c>
      <c r="C287" t="s">
        <v>56</v>
      </c>
      <c r="D287" t="s">
        <v>81</v>
      </c>
      <c r="E287" t="s">
        <v>26</v>
      </c>
      <c r="F287" t="s">
        <v>19</v>
      </c>
      <c r="G287" t="s">
        <v>28</v>
      </c>
      <c r="H287">
        <v>65</v>
      </c>
      <c r="I287" s="5">
        <v>41543</v>
      </c>
      <c r="J287" s="11">
        <v>50341</v>
      </c>
      <c r="K287" s="6">
        <v>0</v>
      </c>
      <c r="L287" t="s">
        <v>29</v>
      </c>
      <c r="M287" t="s">
        <v>115</v>
      </c>
      <c r="N287" s="5" t="s">
        <v>31</v>
      </c>
      <c r="O287">
        <f>TBL_Employees[[#This Row],[Bonus %]]*TBL_Employees[[#This Row],[Annual Salary]]</f>
        <v>0</v>
      </c>
      <c r="P287" t="str">
        <f>IF(TBL_Employees[[#This Row],[Age]]&gt;50,"Senior","Junior")</f>
        <v>Senior</v>
      </c>
      <c r="Q287" s="14" t="str">
        <f>IF(OR(D287="IT", J287&gt;100000), "YES", "NO")</f>
        <v>NO</v>
      </c>
      <c r="R287" s="14">
        <f>YEAR(TBL_Employees[[#This Row],[Hire Date]])</f>
        <v>2013</v>
      </c>
    </row>
    <row r="288" spans="1:18" x14ac:dyDescent="0.35">
      <c r="A288" t="s">
        <v>644</v>
      </c>
      <c r="B288" t="s">
        <v>645</v>
      </c>
      <c r="C288" t="s">
        <v>165</v>
      </c>
      <c r="D288" t="s">
        <v>66</v>
      </c>
      <c r="E288" t="s">
        <v>50</v>
      </c>
      <c r="F288" t="s">
        <v>19</v>
      </c>
      <c r="G288" t="s">
        <v>86</v>
      </c>
      <c r="H288">
        <v>31</v>
      </c>
      <c r="I288" s="5">
        <v>44297</v>
      </c>
      <c r="J288" s="11">
        <v>72235</v>
      </c>
      <c r="K288" s="6">
        <v>0</v>
      </c>
      <c r="L288" t="s">
        <v>94</v>
      </c>
      <c r="M288" t="s">
        <v>95</v>
      </c>
      <c r="N288" s="5" t="s">
        <v>31</v>
      </c>
      <c r="O288">
        <f>TBL_Employees[[#This Row],[Bonus %]]*TBL_Employees[[#This Row],[Annual Salary]]</f>
        <v>0</v>
      </c>
      <c r="P288" t="str">
        <f>IF(TBL_Employees[[#This Row],[Age]]&gt;50,"Senior","Junior")</f>
        <v>Junior</v>
      </c>
      <c r="Q288" s="14" t="str">
        <f>IF(OR(D288="IT", J288&gt;100000), "YES", "NO")</f>
        <v>NO</v>
      </c>
      <c r="R288" s="14">
        <f>YEAR(TBL_Employees[[#This Row],[Hire Date]])</f>
        <v>2021</v>
      </c>
    </row>
    <row r="289" spans="1:18" x14ac:dyDescent="0.35">
      <c r="A289" t="s">
        <v>646</v>
      </c>
      <c r="B289" t="s">
        <v>647</v>
      </c>
      <c r="C289" t="s">
        <v>44</v>
      </c>
      <c r="D289" t="s">
        <v>60</v>
      </c>
      <c r="E289" t="s">
        <v>50</v>
      </c>
      <c r="F289" t="s">
        <v>19</v>
      </c>
      <c r="G289" t="s">
        <v>86</v>
      </c>
      <c r="H289">
        <v>41</v>
      </c>
      <c r="I289" s="5">
        <v>42533</v>
      </c>
      <c r="J289" s="11">
        <v>70165</v>
      </c>
      <c r="K289" s="6">
        <v>0</v>
      </c>
      <c r="L289" t="s">
        <v>21</v>
      </c>
      <c r="M289" t="s">
        <v>89</v>
      </c>
      <c r="N289" s="5" t="s">
        <v>31</v>
      </c>
      <c r="O289">
        <f>TBL_Employees[[#This Row],[Bonus %]]*TBL_Employees[[#This Row],[Annual Salary]]</f>
        <v>0</v>
      </c>
      <c r="P289" t="str">
        <f>IF(TBL_Employees[[#This Row],[Age]]&gt;50,"Senior","Junior")</f>
        <v>Junior</v>
      </c>
      <c r="Q289" s="14" t="str">
        <f>IF(OR(D289="IT", J289&gt;100000), "YES", "NO")</f>
        <v>NO</v>
      </c>
      <c r="R289" s="14">
        <f>YEAR(TBL_Employees[[#This Row],[Hire Date]])</f>
        <v>2016</v>
      </c>
    </row>
    <row r="290" spans="1:18" x14ac:dyDescent="0.35">
      <c r="A290" t="s">
        <v>648</v>
      </c>
      <c r="B290" t="s">
        <v>649</v>
      </c>
      <c r="C290" t="s">
        <v>16</v>
      </c>
      <c r="D290" t="s">
        <v>81</v>
      </c>
      <c r="E290" t="s">
        <v>36</v>
      </c>
      <c r="F290" t="s">
        <v>27</v>
      </c>
      <c r="G290" t="s">
        <v>37</v>
      </c>
      <c r="H290">
        <v>30</v>
      </c>
      <c r="I290" s="5">
        <v>44030</v>
      </c>
      <c r="J290" s="11">
        <v>148485</v>
      </c>
      <c r="K290" s="6">
        <v>0.15</v>
      </c>
      <c r="L290" t="s">
        <v>21</v>
      </c>
      <c r="M290" t="s">
        <v>57</v>
      </c>
      <c r="N290" s="5" t="s">
        <v>31</v>
      </c>
      <c r="O290">
        <f>TBL_Employees[[#This Row],[Bonus %]]*TBL_Employees[[#This Row],[Annual Salary]]</f>
        <v>22272.75</v>
      </c>
      <c r="P290" t="str">
        <f>IF(TBL_Employees[[#This Row],[Age]]&gt;50,"Senior","Junior")</f>
        <v>Junior</v>
      </c>
      <c r="Q290" s="14" t="str">
        <f>IF(OR(D290="IT", J290&gt;100000), "YES", "NO")</f>
        <v>YES</v>
      </c>
      <c r="R290" s="14">
        <f>YEAR(TBL_Employees[[#This Row],[Hire Date]])</f>
        <v>2020</v>
      </c>
    </row>
    <row r="291" spans="1:18" x14ac:dyDescent="0.35">
      <c r="A291" t="s">
        <v>650</v>
      </c>
      <c r="B291" t="s">
        <v>651</v>
      </c>
      <c r="C291" t="s">
        <v>25</v>
      </c>
      <c r="D291" t="s">
        <v>17</v>
      </c>
      <c r="E291" t="s">
        <v>26</v>
      </c>
      <c r="F291" t="s">
        <v>19</v>
      </c>
      <c r="G291" t="s">
        <v>28</v>
      </c>
      <c r="H291">
        <v>58</v>
      </c>
      <c r="I291" s="5">
        <v>38521</v>
      </c>
      <c r="J291" s="11">
        <v>86089</v>
      </c>
      <c r="K291" s="6">
        <v>0</v>
      </c>
      <c r="L291" t="s">
        <v>21</v>
      </c>
      <c r="M291" t="s">
        <v>38</v>
      </c>
      <c r="N291" s="5" t="s">
        <v>31</v>
      </c>
      <c r="O291">
        <f>TBL_Employees[[#This Row],[Bonus %]]*TBL_Employees[[#This Row],[Annual Salary]]</f>
        <v>0</v>
      </c>
      <c r="P291" t="str">
        <f>IF(TBL_Employees[[#This Row],[Age]]&gt;50,"Senior","Junior")</f>
        <v>Senior</v>
      </c>
      <c r="Q291" s="14" t="str">
        <f>IF(OR(D291="IT", J291&gt;100000), "YES", "NO")</f>
        <v>YES</v>
      </c>
      <c r="R291" s="14">
        <f>YEAR(TBL_Employees[[#This Row],[Hire Date]])</f>
        <v>2005</v>
      </c>
    </row>
    <row r="292" spans="1:18" x14ac:dyDescent="0.35">
      <c r="A292" t="s">
        <v>652</v>
      </c>
      <c r="B292" t="s">
        <v>653</v>
      </c>
      <c r="C292" t="s">
        <v>114</v>
      </c>
      <c r="D292" t="s">
        <v>70</v>
      </c>
      <c r="E292" t="s">
        <v>18</v>
      </c>
      <c r="F292" t="s">
        <v>27</v>
      </c>
      <c r="G292" t="s">
        <v>86</v>
      </c>
      <c r="H292">
        <v>54</v>
      </c>
      <c r="I292" s="5">
        <v>39382</v>
      </c>
      <c r="J292" s="11">
        <v>106313</v>
      </c>
      <c r="K292" s="6">
        <v>0.15</v>
      </c>
      <c r="L292" t="s">
        <v>21</v>
      </c>
      <c r="M292" t="s">
        <v>38</v>
      </c>
      <c r="N292" s="5" t="s">
        <v>31</v>
      </c>
      <c r="O292">
        <f>TBL_Employees[[#This Row],[Bonus %]]*TBL_Employees[[#This Row],[Annual Salary]]</f>
        <v>15946.949999999999</v>
      </c>
      <c r="P292" t="str">
        <f>IF(TBL_Employees[[#This Row],[Age]]&gt;50,"Senior","Junior")</f>
        <v>Senior</v>
      </c>
      <c r="Q292" s="14" t="str">
        <f>IF(OR(D292="IT", J292&gt;100000), "YES", "NO")</f>
        <v>YES</v>
      </c>
      <c r="R292" s="14">
        <f>YEAR(TBL_Employees[[#This Row],[Hire Date]])</f>
        <v>2007</v>
      </c>
    </row>
    <row r="293" spans="1:18" x14ac:dyDescent="0.35">
      <c r="A293" t="s">
        <v>654</v>
      </c>
      <c r="B293" t="s">
        <v>655</v>
      </c>
      <c r="C293" t="s">
        <v>56</v>
      </c>
      <c r="D293" t="s">
        <v>81</v>
      </c>
      <c r="E293" t="s">
        <v>18</v>
      </c>
      <c r="F293" t="s">
        <v>19</v>
      </c>
      <c r="G293" t="s">
        <v>28</v>
      </c>
      <c r="H293">
        <v>40</v>
      </c>
      <c r="I293" s="5">
        <v>44251</v>
      </c>
      <c r="J293" s="11">
        <v>46833</v>
      </c>
      <c r="K293" s="6">
        <v>0</v>
      </c>
      <c r="L293" t="s">
        <v>29</v>
      </c>
      <c r="M293" t="s">
        <v>135</v>
      </c>
      <c r="N293" s="5">
        <v>44510</v>
      </c>
      <c r="O293">
        <f>TBL_Employees[[#This Row],[Bonus %]]*TBL_Employees[[#This Row],[Annual Salary]]</f>
        <v>0</v>
      </c>
      <c r="P293" t="str">
        <f>IF(TBL_Employees[[#This Row],[Age]]&gt;50,"Senior","Junior")</f>
        <v>Junior</v>
      </c>
      <c r="Q293" s="14" t="str">
        <f>IF(OR(D293="IT", J293&gt;100000), "YES", "NO")</f>
        <v>NO</v>
      </c>
      <c r="R293" s="14">
        <f>YEAR(TBL_Employees[[#This Row],[Hire Date]])</f>
        <v>2021</v>
      </c>
    </row>
    <row r="294" spans="1:18" x14ac:dyDescent="0.35">
      <c r="A294" t="s">
        <v>656</v>
      </c>
      <c r="B294" t="s">
        <v>657</v>
      </c>
      <c r="C294" t="s">
        <v>34</v>
      </c>
      <c r="D294" t="s">
        <v>35</v>
      </c>
      <c r="E294" t="s">
        <v>18</v>
      </c>
      <c r="F294" t="s">
        <v>19</v>
      </c>
      <c r="G294" t="s">
        <v>28</v>
      </c>
      <c r="H294">
        <v>63</v>
      </c>
      <c r="I294" s="5">
        <v>36826</v>
      </c>
      <c r="J294" s="11">
        <v>155320</v>
      </c>
      <c r="K294" s="6">
        <v>0.17</v>
      </c>
      <c r="L294" t="s">
        <v>29</v>
      </c>
      <c r="M294" t="s">
        <v>30</v>
      </c>
      <c r="N294" s="5" t="s">
        <v>31</v>
      </c>
      <c r="O294">
        <f>TBL_Employees[[#This Row],[Bonus %]]*TBL_Employees[[#This Row],[Annual Salary]]</f>
        <v>26404.400000000001</v>
      </c>
      <c r="P294" t="str">
        <f>IF(TBL_Employees[[#This Row],[Age]]&gt;50,"Senior","Junior")</f>
        <v>Senior</v>
      </c>
      <c r="Q294" s="14" t="str">
        <f>IF(OR(D294="IT", J294&gt;100000), "YES", "NO")</f>
        <v>YES</v>
      </c>
      <c r="R294" s="14">
        <f>YEAR(TBL_Employees[[#This Row],[Hire Date]])</f>
        <v>2000</v>
      </c>
    </row>
    <row r="295" spans="1:18" x14ac:dyDescent="0.35">
      <c r="A295" t="s">
        <v>658</v>
      </c>
      <c r="B295" t="s">
        <v>659</v>
      </c>
      <c r="C295" t="s">
        <v>44</v>
      </c>
      <c r="D295" t="s">
        <v>60</v>
      </c>
      <c r="E295" t="s">
        <v>26</v>
      </c>
      <c r="F295" t="s">
        <v>27</v>
      </c>
      <c r="G295" t="s">
        <v>28</v>
      </c>
      <c r="H295">
        <v>40</v>
      </c>
      <c r="I295" s="5">
        <v>42384</v>
      </c>
      <c r="J295" s="11">
        <v>89984</v>
      </c>
      <c r="K295" s="6">
        <v>0</v>
      </c>
      <c r="L295" t="s">
        <v>29</v>
      </c>
      <c r="M295" t="s">
        <v>135</v>
      </c>
      <c r="N295" s="5" t="s">
        <v>31</v>
      </c>
      <c r="O295">
        <f>TBL_Employees[[#This Row],[Bonus %]]*TBL_Employees[[#This Row],[Annual Salary]]</f>
        <v>0</v>
      </c>
      <c r="P295" t="str">
        <f>IF(TBL_Employees[[#This Row],[Age]]&gt;50,"Senior","Junior")</f>
        <v>Junior</v>
      </c>
      <c r="Q295" s="14" t="str">
        <f>IF(OR(D295="IT", J295&gt;100000), "YES", "NO")</f>
        <v>NO</v>
      </c>
      <c r="R295" s="14">
        <f>YEAR(TBL_Employees[[#This Row],[Hire Date]])</f>
        <v>2016</v>
      </c>
    </row>
    <row r="296" spans="1:18" x14ac:dyDescent="0.35">
      <c r="A296" t="s">
        <v>660</v>
      </c>
      <c r="B296" t="s">
        <v>661</v>
      </c>
      <c r="C296" t="s">
        <v>114</v>
      </c>
      <c r="D296" t="s">
        <v>70</v>
      </c>
      <c r="E296" t="s">
        <v>36</v>
      </c>
      <c r="F296" t="s">
        <v>19</v>
      </c>
      <c r="G296" t="s">
        <v>28</v>
      </c>
      <c r="H296">
        <v>65</v>
      </c>
      <c r="I296" s="5">
        <v>38792</v>
      </c>
      <c r="J296" s="11">
        <v>83756</v>
      </c>
      <c r="K296" s="6">
        <v>0.14000000000000001</v>
      </c>
      <c r="L296" t="s">
        <v>29</v>
      </c>
      <c r="M296" t="s">
        <v>75</v>
      </c>
      <c r="N296" s="5" t="s">
        <v>31</v>
      </c>
      <c r="O296">
        <f>TBL_Employees[[#This Row],[Bonus %]]*TBL_Employees[[#This Row],[Annual Salary]]</f>
        <v>11725.840000000002</v>
      </c>
      <c r="P296" t="str">
        <f>IF(TBL_Employees[[#This Row],[Age]]&gt;50,"Senior","Junior")</f>
        <v>Senior</v>
      </c>
      <c r="Q296" s="14" t="str">
        <f>IF(OR(D296="IT", J296&gt;100000), "YES", "NO")</f>
        <v>NO</v>
      </c>
      <c r="R296" s="14">
        <f>YEAR(TBL_Employees[[#This Row],[Hire Date]])</f>
        <v>2006</v>
      </c>
    </row>
    <row r="297" spans="1:18" x14ac:dyDescent="0.35">
      <c r="A297" t="s">
        <v>662</v>
      </c>
      <c r="B297" t="s">
        <v>663</v>
      </c>
      <c r="C297" t="s">
        <v>34</v>
      </c>
      <c r="D297" t="s">
        <v>66</v>
      </c>
      <c r="E297" t="s">
        <v>50</v>
      </c>
      <c r="F297" t="s">
        <v>19</v>
      </c>
      <c r="G297" t="s">
        <v>28</v>
      </c>
      <c r="H297">
        <v>57</v>
      </c>
      <c r="I297" s="5">
        <v>42667</v>
      </c>
      <c r="J297" s="11">
        <v>176324</v>
      </c>
      <c r="K297" s="6">
        <v>0.23</v>
      </c>
      <c r="L297" t="s">
        <v>29</v>
      </c>
      <c r="M297" t="s">
        <v>75</v>
      </c>
      <c r="N297" s="5" t="s">
        <v>31</v>
      </c>
      <c r="O297">
        <f>TBL_Employees[[#This Row],[Bonus %]]*TBL_Employees[[#This Row],[Annual Salary]]</f>
        <v>40554.520000000004</v>
      </c>
      <c r="P297" t="str">
        <f>IF(TBL_Employees[[#This Row],[Age]]&gt;50,"Senior","Junior")</f>
        <v>Senior</v>
      </c>
      <c r="Q297" s="14" t="str">
        <f>IF(OR(D297="IT", J297&gt;100000), "YES", "NO")</f>
        <v>YES</v>
      </c>
      <c r="R297" s="14">
        <f>YEAR(TBL_Employees[[#This Row],[Hire Date]])</f>
        <v>2016</v>
      </c>
    </row>
    <row r="298" spans="1:18" x14ac:dyDescent="0.35">
      <c r="A298" t="s">
        <v>664</v>
      </c>
      <c r="B298" t="s">
        <v>665</v>
      </c>
      <c r="C298" t="s">
        <v>44</v>
      </c>
      <c r="D298" t="s">
        <v>60</v>
      </c>
      <c r="E298" t="s">
        <v>36</v>
      </c>
      <c r="F298" t="s">
        <v>27</v>
      </c>
      <c r="G298" t="s">
        <v>37</v>
      </c>
      <c r="H298">
        <v>27</v>
      </c>
      <c r="I298" s="5">
        <v>44482</v>
      </c>
      <c r="J298" s="11">
        <v>74077</v>
      </c>
      <c r="K298" s="6">
        <v>0</v>
      </c>
      <c r="L298" t="s">
        <v>21</v>
      </c>
      <c r="M298" t="s">
        <v>22</v>
      </c>
      <c r="N298" s="5" t="s">
        <v>31</v>
      </c>
      <c r="O298">
        <f>TBL_Employees[[#This Row],[Bonus %]]*TBL_Employees[[#This Row],[Annual Salary]]</f>
        <v>0</v>
      </c>
      <c r="P298" t="str">
        <f>IF(TBL_Employees[[#This Row],[Age]]&gt;50,"Senior","Junior")</f>
        <v>Junior</v>
      </c>
      <c r="Q298" s="14" t="str">
        <f>IF(OR(D298="IT", J298&gt;100000), "YES", "NO")</f>
        <v>NO</v>
      </c>
      <c r="R298" s="14">
        <f>YEAR(TBL_Employees[[#This Row],[Hire Date]])</f>
        <v>2021</v>
      </c>
    </row>
    <row r="299" spans="1:18" x14ac:dyDescent="0.35">
      <c r="A299" t="s">
        <v>666</v>
      </c>
      <c r="B299" t="s">
        <v>667</v>
      </c>
      <c r="C299" t="s">
        <v>53</v>
      </c>
      <c r="D299" t="s">
        <v>66</v>
      </c>
      <c r="E299" t="s">
        <v>26</v>
      </c>
      <c r="F299" t="s">
        <v>19</v>
      </c>
      <c r="G299" t="s">
        <v>37</v>
      </c>
      <c r="H299">
        <v>31</v>
      </c>
      <c r="I299" s="5">
        <v>44214</v>
      </c>
      <c r="J299" s="11">
        <v>104162</v>
      </c>
      <c r="K299" s="6">
        <v>7.0000000000000007E-2</v>
      </c>
      <c r="L299" t="s">
        <v>21</v>
      </c>
      <c r="M299" t="s">
        <v>61</v>
      </c>
      <c r="N299" s="5" t="s">
        <v>31</v>
      </c>
      <c r="O299">
        <f>TBL_Employees[[#This Row],[Bonus %]]*TBL_Employees[[#This Row],[Annual Salary]]</f>
        <v>7291.3400000000011</v>
      </c>
      <c r="P299" t="str">
        <f>IF(TBL_Employees[[#This Row],[Age]]&gt;50,"Senior","Junior")</f>
        <v>Junior</v>
      </c>
      <c r="Q299" s="14" t="str">
        <f>IF(OR(D299="IT", J299&gt;100000), "YES", "NO")</f>
        <v>YES</v>
      </c>
      <c r="R299" s="14">
        <f>YEAR(TBL_Employees[[#This Row],[Hire Date]])</f>
        <v>2021</v>
      </c>
    </row>
    <row r="300" spans="1:18" x14ac:dyDescent="0.35">
      <c r="A300" t="s">
        <v>668</v>
      </c>
      <c r="B300" t="s">
        <v>669</v>
      </c>
      <c r="C300" t="s">
        <v>443</v>
      </c>
      <c r="D300" t="s">
        <v>17</v>
      </c>
      <c r="E300" t="s">
        <v>50</v>
      </c>
      <c r="F300" t="s">
        <v>19</v>
      </c>
      <c r="G300" t="s">
        <v>28</v>
      </c>
      <c r="H300">
        <v>45</v>
      </c>
      <c r="I300" s="5">
        <v>40418</v>
      </c>
      <c r="J300" s="11">
        <v>82162</v>
      </c>
      <c r="K300" s="6">
        <v>0</v>
      </c>
      <c r="L300" t="s">
        <v>29</v>
      </c>
      <c r="M300" t="s">
        <v>115</v>
      </c>
      <c r="N300" s="5">
        <v>44107</v>
      </c>
      <c r="O300">
        <f>TBL_Employees[[#This Row],[Bonus %]]*TBL_Employees[[#This Row],[Annual Salary]]</f>
        <v>0</v>
      </c>
      <c r="P300" t="str">
        <f>IF(TBL_Employees[[#This Row],[Age]]&gt;50,"Senior","Junior")</f>
        <v>Junior</v>
      </c>
      <c r="Q300" s="14" t="str">
        <f>IF(OR(D300="IT", J300&gt;100000), "YES", "NO")</f>
        <v>YES</v>
      </c>
      <c r="R300" s="14">
        <f>YEAR(TBL_Employees[[#This Row],[Hire Date]])</f>
        <v>2010</v>
      </c>
    </row>
    <row r="301" spans="1:18" x14ac:dyDescent="0.35">
      <c r="A301" t="s">
        <v>670</v>
      </c>
      <c r="B301" t="s">
        <v>671</v>
      </c>
      <c r="C301" t="s">
        <v>48</v>
      </c>
      <c r="D301" t="s">
        <v>49</v>
      </c>
      <c r="E301" t="s">
        <v>36</v>
      </c>
      <c r="F301" t="s">
        <v>19</v>
      </c>
      <c r="G301" t="s">
        <v>28</v>
      </c>
      <c r="H301">
        <v>47</v>
      </c>
      <c r="I301" s="5">
        <v>42195</v>
      </c>
      <c r="J301" s="11">
        <v>63880</v>
      </c>
      <c r="K301" s="6">
        <v>0</v>
      </c>
      <c r="L301" t="s">
        <v>29</v>
      </c>
      <c r="M301" t="s">
        <v>30</v>
      </c>
      <c r="N301" s="5" t="s">
        <v>31</v>
      </c>
      <c r="O301">
        <f>TBL_Employees[[#This Row],[Bonus %]]*TBL_Employees[[#This Row],[Annual Salary]]</f>
        <v>0</v>
      </c>
      <c r="P301" t="str">
        <f>IF(TBL_Employees[[#This Row],[Age]]&gt;50,"Senior","Junior")</f>
        <v>Junior</v>
      </c>
      <c r="Q301" s="14" t="str">
        <f>IF(OR(D301="IT", J301&gt;100000), "YES", "NO")</f>
        <v>NO</v>
      </c>
      <c r="R301" s="14">
        <f>YEAR(TBL_Employees[[#This Row],[Hire Date]])</f>
        <v>2015</v>
      </c>
    </row>
    <row r="302" spans="1:18" x14ac:dyDescent="0.35">
      <c r="A302" t="s">
        <v>672</v>
      </c>
      <c r="B302" t="s">
        <v>673</v>
      </c>
      <c r="C302" t="s">
        <v>224</v>
      </c>
      <c r="D302" t="s">
        <v>70</v>
      </c>
      <c r="E302" t="s">
        <v>18</v>
      </c>
      <c r="F302" t="s">
        <v>19</v>
      </c>
      <c r="G302" t="s">
        <v>28</v>
      </c>
      <c r="H302">
        <v>55</v>
      </c>
      <c r="I302" s="5">
        <v>41525</v>
      </c>
      <c r="J302" s="11">
        <v>73248</v>
      </c>
      <c r="K302" s="6">
        <v>0</v>
      </c>
      <c r="L302" t="s">
        <v>21</v>
      </c>
      <c r="M302" t="s">
        <v>89</v>
      </c>
      <c r="N302" s="5" t="s">
        <v>31</v>
      </c>
      <c r="O302">
        <f>TBL_Employees[[#This Row],[Bonus %]]*TBL_Employees[[#This Row],[Annual Salary]]</f>
        <v>0</v>
      </c>
      <c r="P302" t="str">
        <f>IF(TBL_Employees[[#This Row],[Age]]&gt;50,"Senior","Junior")</f>
        <v>Senior</v>
      </c>
      <c r="Q302" s="14" t="str">
        <f>IF(OR(D302="IT", J302&gt;100000), "YES", "NO")</f>
        <v>NO</v>
      </c>
      <c r="R302" s="14">
        <f>YEAR(TBL_Employees[[#This Row],[Hire Date]])</f>
        <v>2013</v>
      </c>
    </row>
    <row r="303" spans="1:18" x14ac:dyDescent="0.35">
      <c r="A303" t="s">
        <v>674</v>
      </c>
      <c r="B303" t="s">
        <v>675</v>
      </c>
      <c r="C303" t="s">
        <v>44</v>
      </c>
      <c r="D303" t="s">
        <v>60</v>
      </c>
      <c r="E303" t="s">
        <v>26</v>
      </c>
      <c r="F303" t="s">
        <v>27</v>
      </c>
      <c r="G303" t="s">
        <v>20</v>
      </c>
      <c r="H303">
        <v>51</v>
      </c>
      <c r="I303" s="5">
        <v>44113</v>
      </c>
      <c r="J303" s="11">
        <v>91853</v>
      </c>
      <c r="K303" s="6">
        <v>0</v>
      </c>
      <c r="L303" t="s">
        <v>21</v>
      </c>
      <c r="M303" t="s">
        <v>38</v>
      </c>
      <c r="N303" s="5" t="s">
        <v>31</v>
      </c>
      <c r="O303">
        <f>TBL_Employees[[#This Row],[Bonus %]]*TBL_Employees[[#This Row],[Annual Salary]]</f>
        <v>0</v>
      </c>
      <c r="P303" t="str">
        <f>IF(TBL_Employees[[#This Row],[Age]]&gt;50,"Senior","Junior")</f>
        <v>Senior</v>
      </c>
      <c r="Q303" s="14" t="str">
        <f>IF(OR(D303="IT", J303&gt;100000), "YES", "NO")</f>
        <v>NO</v>
      </c>
      <c r="R303" s="14">
        <f>YEAR(TBL_Employees[[#This Row],[Hire Date]])</f>
        <v>2020</v>
      </c>
    </row>
    <row r="304" spans="1:18" x14ac:dyDescent="0.35">
      <c r="A304" t="s">
        <v>676</v>
      </c>
      <c r="B304" t="s">
        <v>677</v>
      </c>
      <c r="C304" t="s">
        <v>34</v>
      </c>
      <c r="D304" t="s">
        <v>35</v>
      </c>
      <c r="E304" t="s">
        <v>36</v>
      </c>
      <c r="F304" t="s">
        <v>27</v>
      </c>
      <c r="G304" t="s">
        <v>37</v>
      </c>
      <c r="H304">
        <v>25</v>
      </c>
      <c r="I304" s="5">
        <v>43844</v>
      </c>
      <c r="J304" s="11">
        <v>168014</v>
      </c>
      <c r="K304" s="6">
        <v>0.27</v>
      </c>
      <c r="L304" t="s">
        <v>21</v>
      </c>
      <c r="M304" t="s">
        <v>38</v>
      </c>
      <c r="N304" s="5">
        <v>44404</v>
      </c>
      <c r="O304">
        <f>TBL_Employees[[#This Row],[Bonus %]]*TBL_Employees[[#This Row],[Annual Salary]]</f>
        <v>45363.780000000006</v>
      </c>
      <c r="P304" t="str">
        <f>IF(TBL_Employees[[#This Row],[Age]]&gt;50,"Senior","Junior")</f>
        <v>Junior</v>
      </c>
      <c r="Q304" s="14" t="str">
        <f>IF(OR(D304="IT", J304&gt;100000), "YES", "NO")</f>
        <v>YES</v>
      </c>
      <c r="R304" s="14">
        <f>YEAR(TBL_Employees[[#This Row],[Hire Date]])</f>
        <v>2020</v>
      </c>
    </row>
    <row r="305" spans="1:18" x14ac:dyDescent="0.35">
      <c r="A305" t="s">
        <v>678</v>
      </c>
      <c r="B305" t="s">
        <v>679</v>
      </c>
      <c r="C305" t="s">
        <v>278</v>
      </c>
      <c r="D305" t="s">
        <v>70</v>
      </c>
      <c r="E305" t="s">
        <v>50</v>
      </c>
      <c r="F305" t="s">
        <v>19</v>
      </c>
      <c r="G305" t="s">
        <v>37</v>
      </c>
      <c r="H305">
        <v>37</v>
      </c>
      <c r="I305" s="5">
        <v>42995</v>
      </c>
      <c r="J305" s="11">
        <v>70770</v>
      </c>
      <c r="K305" s="6">
        <v>0</v>
      </c>
      <c r="L305" t="s">
        <v>21</v>
      </c>
      <c r="M305" t="s">
        <v>57</v>
      </c>
      <c r="N305" s="5" t="s">
        <v>31</v>
      </c>
      <c r="O305">
        <f>TBL_Employees[[#This Row],[Bonus %]]*TBL_Employees[[#This Row],[Annual Salary]]</f>
        <v>0</v>
      </c>
      <c r="P305" t="str">
        <f>IF(TBL_Employees[[#This Row],[Age]]&gt;50,"Senior","Junior")</f>
        <v>Junior</v>
      </c>
      <c r="Q305" s="14" t="str">
        <f>IF(OR(D305="IT", J305&gt;100000), "YES", "NO")</f>
        <v>NO</v>
      </c>
      <c r="R305" s="14">
        <f>YEAR(TBL_Employees[[#This Row],[Hire Date]])</f>
        <v>2017</v>
      </c>
    </row>
    <row r="306" spans="1:18" x14ac:dyDescent="0.35">
      <c r="A306" t="s">
        <v>680</v>
      </c>
      <c r="B306" t="s">
        <v>681</v>
      </c>
      <c r="C306" t="s">
        <v>165</v>
      </c>
      <c r="D306" t="s">
        <v>66</v>
      </c>
      <c r="E306" t="s">
        <v>50</v>
      </c>
      <c r="F306" t="s">
        <v>27</v>
      </c>
      <c r="G306" t="s">
        <v>37</v>
      </c>
      <c r="H306">
        <v>62</v>
      </c>
      <c r="I306" s="5">
        <v>38271</v>
      </c>
      <c r="J306" s="11">
        <v>50825</v>
      </c>
      <c r="K306" s="6">
        <v>0</v>
      </c>
      <c r="L306" t="s">
        <v>21</v>
      </c>
      <c r="M306" t="s">
        <v>22</v>
      </c>
      <c r="N306" s="5" t="s">
        <v>31</v>
      </c>
      <c r="O306">
        <f>TBL_Employees[[#This Row],[Bonus %]]*TBL_Employees[[#This Row],[Annual Salary]]</f>
        <v>0</v>
      </c>
      <c r="P306" t="str">
        <f>IF(TBL_Employees[[#This Row],[Age]]&gt;50,"Senior","Junior")</f>
        <v>Senior</v>
      </c>
      <c r="Q306" s="14" t="str">
        <f>IF(OR(D306="IT", J306&gt;100000), "YES", "NO")</f>
        <v>NO</v>
      </c>
      <c r="R306" s="14">
        <f>YEAR(TBL_Employees[[#This Row],[Hire Date]])</f>
        <v>2004</v>
      </c>
    </row>
    <row r="307" spans="1:18" x14ac:dyDescent="0.35">
      <c r="A307" t="s">
        <v>682</v>
      </c>
      <c r="B307" t="s">
        <v>683</v>
      </c>
      <c r="C307" t="s">
        <v>16</v>
      </c>
      <c r="D307" t="s">
        <v>35</v>
      </c>
      <c r="E307" t="s">
        <v>18</v>
      </c>
      <c r="F307" t="s">
        <v>27</v>
      </c>
      <c r="G307" t="s">
        <v>86</v>
      </c>
      <c r="H307">
        <v>31</v>
      </c>
      <c r="I307" s="5">
        <v>42266</v>
      </c>
      <c r="J307" s="11">
        <v>145846</v>
      </c>
      <c r="K307" s="6">
        <v>0.15</v>
      </c>
      <c r="L307" t="s">
        <v>94</v>
      </c>
      <c r="M307" t="s">
        <v>95</v>
      </c>
      <c r="N307" s="5" t="s">
        <v>31</v>
      </c>
      <c r="O307">
        <f>TBL_Employees[[#This Row],[Bonus %]]*TBL_Employees[[#This Row],[Annual Salary]]</f>
        <v>21876.899999999998</v>
      </c>
      <c r="P307" t="str">
        <f>IF(TBL_Employees[[#This Row],[Age]]&gt;50,"Senior","Junior")</f>
        <v>Junior</v>
      </c>
      <c r="Q307" s="14" t="str">
        <f>IF(OR(D307="IT", J307&gt;100000), "YES", "NO")</f>
        <v>YES</v>
      </c>
      <c r="R307" s="14">
        <f>YEAR(TBL_Employees[[#This Row],[Hire Date]])</f>
        <v>2015</v>
      </c>
    </row>
    <row r="308" spans="1:18" x14ac:dyDescent="0.35">
      <c r="A308" t="s">
        <v>684</v>
      </c>
      <c r="B308" t="s">
        <v>685</v>
      </c>
      <c r="C308" t="s">
        <v>16</v>
      </c>
      <c r="D308" t="s">
        <v>66</v>
      </c>
      <c r="E308" t="s">
        <v>18</v>
      </c>
      <c r="F308" t="s">
        <v>19</v>
      </c>
      <c r="G308" t="s">
        <v>28</v>
      </c>
      <c r="H308">
        <v>64</v>
      </c>
      <c r="I308" s="5">
        <v>37962</v>
      </c>
      <c r="J308" s="11">
        <v>125807</v>
      </c>
      <c r="K308" s="6">
        <v>0.15</v>
      </c>
      <c r="L308" t="s">
        <v>21</v>
      </c>
      <c r="M308" t="s">
        <v>38</v>
      </c>
      <c r="N308" s="5" t="s">
        <v>31</v>
      </c>
      <c r="O308">
        <f>TBL_Employees[[#This Row],[Bonus %]]*TBL_Employees[[#This Row],[Annual Salary]]</f>
        <v>18871.05</v>
      </c>
      <c r="P308" t="str">
        <f>IF(TBL_Employees[[#This Row],[Age]]&gt;50,"Senior","Junior")</f>
        <v>Senior</v>
      </c>
      <c r="Q308" s="14" t="str">
        <f>IF(OR(D308="IT", J308&gt;100000), "YES", "NO")</f>
        <v>YES</v>
      </c>
      <c r="R308" s="14">
        <f>YEAR(TBL_Employees[[#This Row],[Hire Date]])</f>
        <v>2003</v>
      </c>
    </row>
    <row r="309" spans="1:18" x14ac:dyDescent="0.35">
      <c r="A309" t="s">
        <v>686</v>
      </c>
      <c r="B309" t="s">
        <v>687</v>
      </c>
      <c r="C309" t="s">
        <v>56</v>
      </c>
      <c r="D309" t="s">
        <v>49</v>
      </c>
      <c r="E309" t="s">
        <v>36</v>
      </c>
      <c r="F309" t="s">
        <v>27</v>
      </c>
      <c r="G309" t="s">
        <v>28</v>
      </c>
      <c r="H309">
        <v>25</v>
      </c>
      <c r="I309" s="5">
        <v>44405</v>
      </c>
      <c r="J309" s="11">
        <v>46845</v>
      </c>
      <c r="K309" s="6">
        <v>0</v>
      </c>
      <c r="L309" t="s">
        <v>21</v>
      </c>
      <c r="M309" t="s">
        <v>57</v>
      </c>
      <c r="N309" s="5" t="s">
        <v>31</v>
      </c>
      <c r="O309">
        <f>TBL_Employees[[#This Row],[Bonus %]]*TBL_Employees[[#This Row],[Annual Salary]]</f>
        <v>0</v>
      </c>
      <c r="P309" t="str">
        <f>IF(TBL_Employees[[#This Row],[Age]]&gt;50,"Senior","Junior")</f>
        <v>Junior</v>
      </c>
      <c r="Q309" s="14" t="str">
        <f>IF(OR(D309="IT", J309&gt;100000), "YES", "NO")</f>
        <v>NO</v>
      </c>
      <c r="R309" s="14">
        <f>YEAR(TBL_Employees[[#This Row],[Hire Date]])</f>
        <v>2021</v>
      </c>
    </row>
    <row r="310" spans="1:18" x14ac:dyDescent="0.35">
      <c r="A310" t="s">
        <v>688</v>
      </c>
      <c r="B310" t="s">
        <v>689</v>
      </c>
      <c r="C310" t="s">
        <v>16</v>
      </c>
      <c r="D310" t="s">
        <v>81</v>
      </c>
      <c r="E310" t="s">
        <v>50</v>
      </c>
      <c r="F310" t="s">
        <v>19</v>
      </c>
      <c r="G310" t="s">
        <v>28</v>
      </c>
      <c r="H310">
        <v>59</v>
      </c>
      <c r="I310" s="5">
        <v>39689</v>
      </c>
      <c r="J310" s="11">
        <v>157969</v>
      </c>
      <c r="K310" s="6">
        <v>0.1</v>
      </c>
      <c r="L310" t="s">
        <v>29</v>
      </c>
      <c r="M310" t="s">
        <v>30</v>
      </c>
      <c r="N310" s="5" t="s">
        <v>31</v>
      </c>
      <c r="O310">
        <f>TBL_Employees[[#This Row],[Bonus %]]*TBL_Employees[[#This Row],[Annual Salary]]</f>
        <v>15796.900000000001</v>
      </c>
      <c r="P310" t="str">
        <f>IF(TBL_Employees[[#This Row],[Age]]&gt;50,"Senior","Junior")</f>
        <v>Senior</v>
      </c>
      <c r="Q310" s="14" t="str">
        <f>IF(OR(D310="IT", J310&gt;100000), "YES", "NO")</f>
        <v>YES</v>
      </c>
      <c r="R310" s="14">
        <f>YEAR(TBL_Employees[[#This Row],[Hire Date]])</f>
        <v>2008</v>
      </c>
    </row>
    <row r="311" spans="1:18" x14ac:dyDescent="0.35">
      <c r="A311" t="s">
        <v>690</v>
      </c>
      <c r="B311" t="s">
        <v>691</v>
      </c>
      <c r="C311" t="s">
        <v>373</v>
      </c>
      <c r="D311" t="s">
        <v>17</v>
      </c>
      <c r="E311" t="s">
        <v>50</v>
      </c>
      <c r="F311" t="s">
        <v>19</v>
      </c>
      <c r="G311" t="s">
        <v>37</v>
      </c>
      <c r="H311">
        <v>40</v>
      </c>
      <c r="I311" s="5">
        <v>40522</v>
      </c>
      <c r="J311" s="11">
        <v>97807</v>
      </c>
      <c r="K311" s="6">
        <v>0</v>
      </c>
      <c r="L311" t="s">
        <v>21</v>
      </c>
      <c r="M311" t="s">
        <v>38</v>
      </c>
      <c r="N311" s="5" t="s">
        <v>31</v>
      </c>
      <c r="O311">
        <f>TBL_Employees[[#This Row],[Bonus %]]*TBL_Employees[[#This Row],[Annual Salary]]</f>
        <v>0</v>
      </c>
      <c r="P311" t="str">
        <f>IF(TBL_Employees[[#This Row],[Age]]&gt;50,"Senior","Junior")</f>
        <v>Junior</v>
      </c>
      <c r="Q311" s="14" t="str">
        <f>IF(OR(D311="IT", J311&gt;100000), "YES", "NO")</f>
        <v>YES</v>
      </c>
      <c r="R311" s="14">
        <f>YEAR(TBL_Employees[[#This Row],[Hire Date]])</f>
        <v>2010</v>
      </c>
    </row>
    <row r="312" spans="1:18" x14ac:dyDescent="0.35">
      <c r="A312" t="s">
        <v>692</v>
      </c>
      <c r="B312" t="s">
        <v>693</v>
      </c>
      <c r="C312" t="s">
        <v>165</v>
      </c>
      <c r="D312" t="s">
        <v>66</v>
      </c>
      <c r="E312" t="s">
        <v>26</v>
      </c>
      <c r="F312" t="s">
        <v>27</v>
      </c>
      <c r="G312" t="s">
        <v>86</v>
      </c>
      <c r="H312">
        <v>31</v>
      </c>
      <c r="I312" s="5">
        <v>42347</v>
      </c>
      <c r="J312" s="11">
        <v>73854</v>
      </c>
      <c r="K312" s="6">
        <v>0</v>
      </c>
      <c r="L312" t="s">
        <v>21</v>
      </c>
      <c r="M312" t="s">
        <v>22</v>
      </c>
      <c r="N312" s="5" t="s">
        <v>31</v>
      </c>
      <c r="O312">
        <f>TBL_Employees[[#This Row],[Bonus %]]*TBL_Employees[[#This Row],[Annual Salary]]</f>
        <v>0</v>
      </c>
      <c r="P312" t="str">
        <f>IF(TBL_Employees[[#This Row],[Age]]&gt;50,"Senior","Junior")</f>
        <v>Junior</v>
      </c>
      <c r="Q312" s="14" t="str">
        <f>IF(OR(D312="IT", J312&gt;100000), "YES", "NO")</f>
        <v>NO</v>
      </c>
      <c r="R312" s="14">
        <f>YEAR(TBL_Employees[[#This Row],[Hire Date]])</f>
        <v>2015</v>
      </c>
    </row>
    <row r="313" spans="1:18" x14ac:dyDescent="0.35">
      <c r="A313" t="s">
        <v>694</v>
      </c>
      <c r="B313" t="s">
        <v>695</v>
      </c>
      <c r="C313" t="s">
        <v>16</v>
      </c>
      <c r="D313" t="s">
        <v>60</v>
      </c>
      <c r="E313" t="s">
        <v>26</v>
      </c>
      <c r="F313" t="s">
        <v>27</v>
      </c>
      <c r="G313" t="s">
        <v>28</v>
      </c>
      <c r="H313">
        <v>45</v>
      </c>
      <c r="I313" s="5">
        <v>39063</v>
      </c>
      <c r="J313" s="11">
        <v>149537</v>
      </c>
      <c r="K313" s="6">
        <v>0.14000000000000001</v>
      </c>
      <c r="L313" t="s">
        <v>21</v>
      </c>
      <c r="M313" t="s">
        <v>22</v>
      </c>
      <c r="N313" s="5" t="s">
        <v>31</v>
      </c>
      <c r="O313">
        <f>TBL_Employees[[#This Row],[Bonus %]]*TBL_Employees[[#This Row],[Annual Salary]]</f>
        <v>20935.18</v>
      </c>
      <c r="P313" t="str">
        <f>IF(TBL_Employees[[#This Row],[Age]]&gt;50,"Senior","Junior")</f>
        <v>Junior</v>
      </c>
      <c r="Q313" s="14" t="str">
        <f>IF(OR(D313="IT", J313&gt;100000), "YES", "NO")</f>
        <v>YES</v>
      </c>
      <c r="R313" s="14">
        <f>YEAR(TBL_Employees[[#This Row],[Hire Date]])</f>
        <v>2006</v>
      </c>
    </row>
    <row r="314" spans="1:18" x14ac:dyDescent="0.35">
      <c r="A314" t="s">
        <v>696</v>
      </c>
      <c r="B314" t="s">
        <v>697</v>
      </c>
      <c r="C314" t="s">
        <v>16</v>
      </c>
      <c r="D314" t="s">
        <v>49</v>
      </c>
      <c r="E314" t="s">
        <v>26</v>
      </c>
      <c r="F314" t="s">
        <v>19</v>
      </c>
      <c r="G314" t="s">
        <v>37</v>
      </c>
      <c r="H314">
        <v>49</v>
      </c>
      <c r="I314" s="5">
        <v>41379</v>
      </c>
      <c r="J314" s="11">
        <v>128303</v>
      </c>
      <c r="K314" s="6">
        <v>0.15</v>
      </c>
      <c r="L314" t="s">
        <v>21</v>
      </c>
      <c r="M314" t="s">
        <v>45</v>
      </c>
      <c r="N314" s="5" t="s">
        <v>31</v>
      </c>
      <c r="O314">
        <f>TBL_Employees[[#This Row],[Bonus %]]*TBL_Employees[[#This Row],[Annual Salary]]</f>
        <v>19245.45</v>
      </c>
      <c r="P314" t="str">
        <f>IF(TBL_Employees[[#This Row],[Age]]&gt;50,"Senior","Junior")</f>
        <v>Junior</v>
      </c>
      <c r="Q314" s="14" t="str">
        <f>IF(OR(D314="IT", J314&gt;100000), "YES", "NO")</f>
        <v>YES</v>
      </c>
      <c r="R314" s="14">
        <f>YEAR(TBL_Employees[[#This Row],[Hire Date]])</f>
        <v>2013</v>
      </c>
    </row>
    <row r="315" spans="1:18" x14ac:dyDescent="0.35">
      <c r="A315" t="s">
        <v>698</v>
      </c>
      <c r="B315" t="s">
        <v>699</v>
      </c>
      <c r="C315" t="s">
        <v>249</v>
      </c>
      <c r="D315" t="s">
        <v>17</v>
      </c>
      <c r="E315" t="s">
        <v>36</v>
      </c>
      <c r="F315" t="s">
        <v>27</v>
      </c>
      <c r="G315" t="s">
        <v>20</v>
      </c>
      <c r="H315">
        <v>46</v>
      </c>
      <c r="I315" s="5">
        <v>38513</v>
      </c>
      <c r="J315" s="11">
        <v>67374</v>
      </c>
      <c r="K315" s="6">
        <v>0</v>
      </c>
      <c r="L315" t="s">
        <v>21</v>
      </c>
      <c r="M315" t="s">
        <v>61</v>
      </c>
      <c r="N315" s="5" t="s">
        <v>31</v>
      </c>
      <c r="O315">
        <f>TBL_Employees[[#This Row],[Bonus %]]*TBL_Employees[[#This Row],[Annual Salary]]</f>
        <v>0</v>
      </c>
      <c r="P315" t="str">
        <f>IF(TBL_Employees[[#This Row],[Age]]&gt;50,"Senior","Junior")</f>
        <v>Junior</v>
      </c>
      <c r="Q315" s="14" t="str">
        <f>IF(OR(D315="IT", J315&gt;100000), "YES", "NO")</f>
        <v>YES</v>
      </c>
      <c r="R315" s="14">
        <f>YEAR(TBL_Employees[[#This Row],[Hire Date]])</f>
        <v>2005</v>
      </c>
    </row>
    <row r="316" spans="1:18" x14ac:dyDescent="0.35">
      <c r="A316" t="s">
        <v>700</v>
      </c>
      <c r="B316" t="s">
        <v>701</v>
      </c>
      <c r="C316" t="s">
        <v>53</v>
      </c>
      <c r="D316" t="s">
        <v>66</v>
      </c>
      <c r="E316" t="s">
        <v>50</v>
      </c>
      <c r="F316" t="s">
        <v>27</v>
      </c>
      <c r="G316" t="s">
        <v>86</v>
      </c>
      <c r="H316">
        <v>46</v>
      </c>
      <c r="I316" s="5">
        <v>40810</v>
      </c>
      <c r="J316" s="11">
        <v>102167</v>
      </c>
      <c r="K316" s="6">
        <v>0.06</v>
      </c>
      <c r="L316" t="s">
        <v>94</v>
      </c>
      <c r="M316" t="s">
        <v>100</v>
      </c>
      <c r="N316" s="5" t="s">
        <v>31</v>
      </c>
      <c r="O316">
        <f>TBL_Employees[[#This Row],[Bonus %]]*TBL_Employees[[#This Row],[Annual Salary]]</f>
        <v>6130.0199999999995</v>
      </c>
      <c r="P316" t="str">
        <f>IF(TBL_Employees[[#This Row],[Age]]&gt;50,"Senior","Junior")</f>
        <v>Junior</v>
      </c>
      <c r="Q316" s="14" t="str">
        <f>IF(OR(D316="IT", J316&gt;100000), "YES", "NO")</f>
        <v>YES</v>
      </c>
      <c r="R316" s="14">
        <f>YEAR(TBL_Employees[[#This Row],[Hire Date]])</f>
        <v>2011</v>
      </c>
    </row>
    <row r="317" spans="1:18" x14ac:dyDescent="0.35">
      <c r="A317" t="s">
        <v>702</v>
      </c>
      <c r="B317" t="s">
        <v>703</v>
      </c>
      <c r="C317" t="s">
        <v>16</v>
      </c>
      <c r="D317" t="s">
        <v>49</v>
      </c>
      <c r="E317" t="s">
        <v>26</v>
      </c>
      <c r="F317" t="s">
        <v>27</v>
      </c>
      <c r="G317" t="s">
        <v>28</v>
      </c>
      <c r="H317">
        <v>45</v>
      </c>
      <c r="I317" s="5">
        <v>39332</v>
      </c>
      <c r="J317" s="11">
        <v>151027</v>
      </c>
      <c r="K317" s="6">
        <v>0.1</v>
      </c>
      <c r="L317" t="s">
        <v>29</v>
      </c>
      <c r="M317" t="s">
        <v>75</v>
      </c>
      <c r="N317" s="5" t="s">
        <v>31</v>
      </c>
      <c r="O317">
        <f>TBL_Employees[[#This Row],[Bonus %]]*TBL_Employees[[#This Row],[Annual Salary]]</f>
        <v>15102.7</v>
      </c>
      <c r="P317" t="str">
        <f>IF(TBL_Employees[[#This Row],[Age]]&gt;50,"Senior","Junior")</f>
        <v>Junior</v>
      </c>
      <c r="Q317" s="14" t="str">
        <f>IF(OR(D317="IT", J317&gt;100000), "YES", "NO")</f>
        <v>YES</v>
      </c>
      <c r="R317" s="14">
        <f>YEAR(TBL_Employees[[#This Row],[Hire Date]])</f>
        <v>2007</v>
      </c>
    </row>
    <row r="318" spans="1:18" x14ac:dyDescent="0.35">
      <c r="A318" t="s">
        <v>704</v>
      </c>
      <c r="B318" t="s">
        <v>705</v>
      </c>
      <c r="C318" t="s">
        <v>53</v>
      </c>
      <c r="D318" t="s">
        <v>60</v>
      </c>
      <c r="E318" t="s">
        <v>36</v>
      </c>
      <c r="F318" t="s">
        <v>27</v>
      </c>
      <c r="G318" t="s">
        <v>28</v>
      </c>
      <c r="H318">
        <v>40</v>
      </c>
      <c r="I318" s="5">
        <v>43147</v>
      </c>
      <c r="J318" s="11">
        <v>120905</v>
      </c>
      <c r="K318" s="6">
        <v>0.05</v>
      </c>
      <c r="L318" t="s">
        <v>21</v>
      </c>
      <c r="M318" t="s">
        <v>22</v>
      </c>
      <c r="N318" s="5" t="s">
        <v>31</v>
      </c>
      <c r="O318">
        <f>TBL_Employees[[#This Row],[Bonus %]]*TBL_Employees[[#This Row],[Annual Salary]]</f>
        <v>6045.25</v>
      </c>
      <c r="P318" t="str">
        <f>IF(TBL_Employees[[#This Row],[Age]]&gt;50,"Senior","Junior")</f>
        <v>Junior</v>
      </c>
      <c r="Q318" s="14" t="str">
        <f>IF(OR(D318="IT", J318&gt;100000), "YES", "NO")</f>
        <v>YES</v>
      </c>
      <c r="R318" s="14">
        <f>YEAR(TBL_Employees[[#This Row],[Hire Date]])</f>
        <v>2018</v>
      </c>
    </row>
    <row r="319" spans="1:18" x14ac:dyDescent="0.35">
      <c r="A319" t="s">
        <v>706</v>
      </c>
      <c r="B319" t="s">
        <v>707</v>
      </c>
      <c r="C319" t="s">
        <v>80</v>
      </c>
      <c r="D319" t="s">
        <v>35</v>
      </c>
      <c r="E319" t="s">
        <v>26</v>
      </c>
      <c r="F319" t="s">
        <v>19</v>
      </c>
      <c r="G319" t="s">
        <v>37</v>
      </c>
      <c r="H319">
        <v>48</v>
      </c>
      <c r="I319" s="5">
        <v>43253</v>
      </c>
      <c r="J319" s="11">
        <v>231567</v>
      </c>
      <c r="K319" s="6">
        <v>0.36</v>
      </c>
      <c r="L319" t="s">
        <v>21</v>
      </c>
      <c r="M319" t="s">
        <v>22</v>
      </c>
      <c r="N319" s="5" t="s">
        <v>31</v>
      </c>
      <c r="O319">
        <f>TBL_Employees[[#This Row],[Bonus %]]*TBL_Employees[[#This Row],[Annual Salary]]</f>
        <v>83364.12</v>
      </c>
      <c r="P319" t="str">
        <f>IF(TBL_Employees[[#This Row],[Age]]&gt;50,"Senior","Junior")</f>
        <v>Junior</v>
      </c>
      <c r="Q319" s="14" t="str">
        <f>IF(OR(D319="IT", J319&gt;100000), "YES", "NO")</f>
        <v>YES</v>
      </c>
      <c r="R319" s="14">
        <f>YEAR(TBL_Employees[[#This Row],[Hire Date]])</f>
        <v>2018</v>
      </c>
    </row>
    <row r="320" spans="1:18" x14ac:dyDescent="0.35">
      <c r="A320" t="s">
        <v>413</v>
      </c>
      <c r="B320" t="s">
        <v>708</v>
      </c>
      <c r="C320" t="s">
        <v>80</v>
      </c>
      <c r="D320" t="s">
        <v>17</v>
      </c>
      <c r="E320" t="s">
        <v>18</v>
      </c>
      <c r="F320" t="s">
        <v>27</v>
      </c>
      <c r="G320" t="s">
        <v>28</v>
      </c>
      <c r="H320">
        <v>31</v>
      </c>
      <c r="I320" s="5">
        <v>42197</v>
      </c>
      <c r="J320" s="11">
        <v>215388</v>
      </c>
      <c r="K320" s="6">
        <v>0.33</v>
      </c>
      <c r="L320" t="s">
        <v>21</v>
      </c>
      <c r="M320" t="s">
        <v>57</v>
      </c>
      <c r="N320" s="5" t="s">
        <v>31</v>
      </c>
      <c r="O320">
        <f>TBL_Employees[[#This Row],[Bonus %]]*TBL_Employees[[#This Row],[Annual Salary]]</f>
        <v>71078.040000000008</v>
      </c>
      <c r="P320" t="str">
        <f>IF(TBL_Employees[[#This Row],[Age]]&gt;50,"Senior","Junior")</f>
        <v>Junior</v>
      </c>
      <c r="Q320" s="14" t="str">
        <f>IF(OR(D320="IT", J320&gt;100000), "YES", "NO")</f>
        <v>YES</v>
      </c>
      <c r="R320" s="14">
        <f>YEAR(TBL_Employees[[#This Row],[Hire Date]])</f>
        <v>2015</v>
      </c>
    </row>
    <row r="321" spans="1:18" x14ac:dyDescent="0.35">
      <c r="A321" t="s">
        <v>709</v>
      </c>
      <c r="B321" t="s">
        <v>710</v>
      </c>
      <c r="C321" t="s">
        <v>16</v>
      </c>
      <c r="D321" t="s">
        <v>49</v>
      </c>
      <c r="E321" t="s">
        <v>36</v>
      </c>
      <c r="F321" t="s">
        <v>19</v>
      </c>
      <c r="G321" t="s">
        <v>28</v>
      </c>
      <c r="H321">
        <v>30</v>
      </c>
      <c r="I321" s="5">
        <v>42168</v>
      </c>
      <c r="J321" s="11">
        <v>127972</v>
      </c>
      <c r="K321" s="6">
        <v>0.11</v>
      </c>
      <c r="L321" t="s">
        <v>21</v>
      </c>
      <c r="M321" t="s">
        <v>22</v>
      </c>
      <c r="N321" s="5" t="s">
        <v>31</v>
      </c>
      <c r="O321">
        <f>TBL_Employees[[#This Row],[Bonus %]]*TBL_Employees[[#This Row],[Annual Salary]]</f>
        <v>14076.92</v>
      </c>
      <c r="P321" t="str">
        <f>IF(TBL_Employees[[#This Row],[Age]]&gt;50,"Senior","Junior")</f>
        <v>Junior</v>
      </c>
      <c r="Q321" s="14" t="str">
        <f>IF(OR(D321="IT", J321&gt;100000), "YES", "NO")</f>
        <v>YES</v>
      </c>
      <c r="R321" s="14">
        <f>YEAR(TBL_Employees[[#This Row],[Hire Date]])</f>
        <v>2015</v>
      </c>
    </row>
    <row r="322" spans="1:18" x14ac:dyDescent="0.35">
      <c r="A322" t="s">
        <v>711</v>
      </c>
      <c r="B322" t="s">
        <v>712</v>
      </c>
      <c r="C322" t="s">
        <v>182</v>
      </c>
      <c r="D322" t="s">
        <v>70</v>
      </c>
      <c r="E322" t="s">
        <v>50</v>
      </c>
      <c r="F322" t="s">
        <v>19</v>
      </c>
      <c r="G322" t="s">
        <v>28</v>
      </c>
      <c r="H322">
        <v>55</v>
      </c>
      <c r="I322" s="5">
        <v>34915</v>
      </c>
      <c r="J322" s="11">
        <v>80701</v>
      </c>
      <c r="K322" s="6">
        <v>0</v>
      </c>
      <c r="L322" t="s">
        <v>21</v>
      </c>
      <c r="M322" t="s">
        <v>38</v>
      </c>
      <c r="N322" s="5">
        <v>38456</v>
      </c>
      <c r="O322">
        <f>TBL_Employees[[#This Row],[Bonus %]]*TBL_Employees[[#This Row],[Annual Salary]]</f>
        <v>0</v>
      </c>
      <c r="P322" t="str">
        <f>IF(TBL_Employees[[#This Row],[Age]]&gt;50,"Senior","Junior")</f>
        <v>Senior</v>
      </c>
      <c r="Q322" s="14" t="str">
        <f>IF(OR(D322="IT", J322&gt;100000), "YES", "NO")</f>
        <v>NO</v>
      </c>
      <c r="R322" s="14">
        <f>YEAR(TBL_Employees[[#This Row],[Hire Date]])</f>
        <v>1995</v>
      </c>
    </row>
    <row r="323" spans="1:18" x14ac:dyDescent="0.35">
      <c r="A323" t="s">
        <v>713</v>
      </c>
      <c r="B323" t="s">
        <v>714</v>
      </c>
      <c r="C323" t="s">
        <v>53</v>
      </c>
      <c r="D323" t="s">
        <v>81</v>
      </c>
      <c r="E323" t="s">
        <v>50</v>
      </c>
      <c r="F323" t="s">
        <v>27</v>
      </c>
      <c r="G323" t="s">
        <v>28</v>
      </c>
      <c r="H323">
        <v>28</v>
      </c>
      <c r="I323" s="5">
        <v>43863</v>
      </c>
      <c r="J323" s="11">
        <v>115417</v>
      </c>
      <c r="K323" s="6">
        <v>0.06</v>
      </c>
      <c r="L323" t="s">
        <v>29</v>
      </c>
      <c r="M323" t="s">
        <v>75</v>
      </c>
      <c r="N323" s="5" t="s">
        <v>31</v>
      </c>
      <c r="O323">
        <f>TBL_Employees[[#This Row],[Bonus %]]*TBL_Employees[[#This Row],[Annual Salary]]</f>
        <v>6925.0199999999995</v>
      </c>
      <c r="P323" t="str">
        <f>IF(TBL_Employees[[#This Row],[Age]]&gt;50,"Senior","Junior")</f>
        <v>Junior</v>
      </c>
      <c r="Q323" s="14" t="str">
        <f>IF(OR(D323="IT", J323&gt;100000), "YES", "NO")</f>
        <v>YES</v>
      </c>
      <c r="R323" s="14">
        <f>YEAR(TBL_Employees[[#This Row],[Hire Date]])</f>
        <v>2020</v>
      </c>
    </row>
    <row r="324" spans="1:18" x14ac:dyDescent="0.35">
      <c r="A324" t="s">
        <v>346</v>
      </c>
      <c r="B324" t="s">
        <v>715</v>
      </c>
      <c r="C324" t="s">
        <v>109</v>
      </c>
      <c r="D324" t="s">
        <v>70</v>
      </c>
      <c r="E324" t="s">
        <v>50</v>
      </c>
      <c r="F324" t="s">
        <v>19</v>
      </c>
      <c r="G324" t="s">
        <v>37</v>
      </c>
      <c r="H324">
        <v>45</v>
      </c>
      <c r="I324" s="5">
        <v>43635</v>
      </c>
      <c r="J324" s="11">
        <v>88045</v>
      </c>
      <c r="K324" s="6">
        <v>0</v>
      </c>
      <c r="L324" t="s">
        <v>21</v>
      </c>
      <c r="M324" t="s">
        <v>38</v>
      </c>
      <c r="N324" s="5" t="s">
        <v>31</v>
      </c>
      <c r="O324">
        <f>TBL_Employees[[#This Row],[Bonus %]]*TBL_Employees[[#This Row],[Annual Salary]]</f>
        <v>0</v>
      </c>
      <c r="P324" t="str">
        <f>IF(TBL_Employees[[#This Row],[Age]]&gt;50,"Senior","Junior")</f>
        <v>Junior</v>
      </c>
      <c r="Q324" s="14" t="str">
        <f>IF(OR(D324="IT", J324&gt;100000), "YES", "NO")</f>
        <v>NO</v>
      </c>
      <c r="R324" s="14">
        <f>YEAR(TBL_Employees[[#This Row],[Hire Date]])</f>
        <v>2019</v>
      </c>
    </row>
    <row r="325" spans="1:18" x14ac:dyDescent="0.35">
      <c r="A325" t="s">
        <v>716</v>
      </c>
      <c r="B325" t="s">
        <v>717</v>
      </c>
      <c r="C325" t="s">
        <v>41</v>
      </c>
      <c r="D325" t="s">
        <v>17</v>
      </c>
      <c r="E325" t="s">
        <v>36</v>
      </c>
      <c r="F325" t="s">
        <v>19</v>
      </c>
      <c r="G325" t="s">
        <v>20</v>
      </c>
      <c r="H325">
        <v>45</v>
      </c>
      <c r="I325" s="5">
        <v>43185</v>
      </c>
      <c r="J325" s="11">
        <v>86478</v>
      </c>
      <c r="K325" s="6">
        <v>0.06</v>
      </c>
      <c r="L325" t="s">
        <v>21</v>
      </c>
      <c r="M325" t="s">
        <v>61</v>
      </c>
      <c r="N325" s="5" t="s">
        <v>31</v>
      </c>
      <c r="O325">
        <f>TBL_Employees[[#This Row],[Bonus %]]*TBL_Employees[[#This Row],[Annual Salary]]</f>
        <v>5188.6799999999994</v>
      </c>
      <c r="P325" t="str">
        <f>IF(TBL_Employees[[#This Row],[Age]]&gt;50,"Senior","Junior")</f>
        <v>Junior</v>
      </c>
      <c r="Q325" s="14" t="str">
        <f>IF(OR(D325="IT", J325&gt;100000), "YES", "NO")</f>
        <v>YES</v>
      </c>
      <c r="R325" s="14">
        <f>YEAR(TBL_Employees[[#This Row],[Hire Date]])</f>
        <v>2018</v>
      </c>
    </row>
    <row r="326" spans="1:18" x14ac:dyDescent="0.35">
      <c r="A326" t="s">
        <v>718</v>
      </c>
      <c r="B326" t="s">
        <v>719</v>
      </c>
      <c r="C326" t="s">
        <v>80</v>
      </c>
      <c r="D326" t="s">
        <v>70</v>
      </c>
      <c r="E326" t="s">
        <v>26</v>
      </c>
      <c r="F326" t="s">
        <v>27</v>
      </c>
      <c r="G326" t="s">
        <v>37</v>
      </c>
      <c r="H326">
        <v>63</v>
      </c>
      <c r="I326" s="5">
        <v>42387</v>
      </c>
      <c r="J326" s="11">
        <v>180994</v>
      </c>
      <c r="K326" s="6">
        <v>0.39</v>
      </c>
      <c r="L326" t="s">
        <v>21</v>
      </c>
      <c r="M326" t="s">
        <v>22</v>
      </c>
      <c r="N326" s="5" t="s">
        <v>31</v>
      </c>
      <c r="O326">
        <f>TBL_Employees[[#This Row],[Bonus %]]*TBL_Employees[[#This Row],[Annual Salary]]</f>
        <v>70587.66</v>
      </c>
      <c r="P326" t="str">
        <f>IF(TBL_Employees[[#This Row],[Age]]&gt;50,"Senior","Junior")</f>
        <v>Senior</v>
      </c>
      <c r="Q326" s="14" t="str">
        <f>IF(OR(D326="IT", J326&gt;100000), "YES", "NO")</f>
        <v>YES</v>
      </c>
      <c r="R326" s="14">
        <f>YEAR(TBL_Employees[[#This Row],[Hire Date]])</f>
        <v>2016</v>
      </c>
    </row>
    <row r="327" spans="1:18" x14ac:dyDescent="0.35">
      <c r="A327" t="s">
        <v>720</v>
      </c>
      <c r="B327" t="s">
        <v>721</v>
      </c>
      <c r="C327" t="s">
        <v>125</v>
      </c>
      <c r="D327" t="s">
        <v>35</v>
      </c>
      <c r="E327" t="s">
        <v>18</v>
      </c>
      <c r="F327" t="s">
        <v>19</v>
      </c>
      <c r="G327" t="s">
        <v>28</v>
      </c>
      <c r="H327">
        <v>55</v>
      </c>
      <c r="I327" s="5">
        <v>39418</v>
      </c>
      <c r="J327" s="11">
        <v>64494</v>
      </c>
      <c r="K327" s="6">
        <v>0</v>
      </c>
      <c r="L327" t="s">
        <v>21</v>
      </c>
      <c r="M327" t="s">
        <v>89</v>
      </c>
      <c r="N327" s="5" t="s">
        <v>31</v>
      </c>
      <c r="O327">
        <f>TBL_Employees[[#This Row],[Bonus %]]*TBL_Employees[[#This Row],[Annual Salary]]</f>
        <v>0</v>
      </c>
      <c r="P327" t="str">
        <f>IF(TBL_Employees[[#This Row],[Age]]&gt;50,"Senior","Junior")</f>
        <v>Senior</v>
      </c>
      <c r="Q327" s="14" t="str">
        <f>IF(OR(D327="IT", J327&gt;100000), "YES", "NO")</f>
        <v>NO</v>
      </c>
      <c r="R327" s="14">
        <f>YEAR(TBL_Employees[[#This Row],[Hire Date]])</f>
        <v>2007</v>
      </c>
    </row>
    <row r="328" spans="1:18" x14ac:dyDescent="0.35">
      <c r="A328" t="s">
        <v>722</v>
      </c>
      <c r="B328" t="s">
        <v>723</v>
      </c>
      <c r="C328" t="s">
        <v>48</v>
      </c>
      <c r="D328" t="s">
        <v>49</v>
      </c>
      <c r="E328" t="s">
        <v>26</v>
      </c>
      <c r="F328" t="s">
        <v>27</v>
      </c>
      <c r="G328" t="s">
        <v>20</v>
      </c>
      <c r="H328">
        <v>47</v>
      </c>
      <c r="I328" s="5">
        <v>37550</v>
      </c>
      <c r="J328" s="11">
        <v>70122</v>
      </c>
      <c r="K328" s="6">
        <v>0</v>
      </c>
      <c r="L328" t="s">
        <v>21</v>
      </c>
      <c r="M328" t="s">
        <v>89</v>
      </c>
      <c r="N328" s="5" t="s">
        <v>31</v>
      </c>
      <c r="O328">
        <f>TBL_Employees[[#This Row],[Bonus %]]*TBL_Employees[[#This Row],[Annual Salary]]</f>
        <v>0</v>
      </c>
      <c r="P328" t="str">
        <f>IF(TBL_Employees[[#This Row],[Age]]&gt;50,"Senior","Junior")</f>
        <v>Junior</v>
      </c>
      <c r="Q328" s="14" t="str">
        <f>IF(OR(D328="IT", J328&gt;100000), "YES", "NO")</f>
        <v>NO</v>
      </c>
      <c r="R328" s="14">
        <f>YEAR(TBL_Employees[[#This Row],[Hire Date]])</f>
        <v>2002</v>
      </c>
    </row>
    <row r="329" spans="1:18" x14ac:dyDescent="0.35">
      <c r="A329" t="s">
        <v>724</v>
      </c>
      <c r="B329" t="s">
        <v>725</v>
      </c>
      <c r="C329" t="s">
        <v>34</v>
      </c>
      <c r="D329" t="s">
        <v>60</v>
      </c>
      <c r="E329" t="s">
        <v>26</v>
      </c>
      <c r="F329" t="s">
        <v>27</v>
      </c>
      <c r="G329" t="s">
        <v>37</v>
      </c>
      <c r="H329">
        <v>29</v>
      </c>
      <c r="I329" s="5">
        <v>42785</v>
      </c>
      <c r="J329" s="11">
        <v>181854</v>
      </c>
      <c r="K329" s="6">
        <v>0.28999999999999998</v>
      </c>
      <c r="L329" t="s">
        <v>21</v>
      </c>
      <c r="M329" t="s">
        <v>22</v>
      </c>
      <c r="N329" s="5">
        <v>43945</v>
      </c>
      <c r="O329">
        <f>TBL_Employees[[#This Row],[Bonus %]]*TBL_Employees[[#This Row],[Annual Salary]]</f>
        <v>52737.659999999996</v>
      </c>
      <c r="P329" t="str">
        <f>IF(TBL_Employees[[#This Row],[Age]]&gt;50,"Senior","Junior")</f>
        <v>Junior</v>
      </c>
      <c r="Q329" s="14" t="str">
        <f>IF(OR(D329="IT", J329&gt;100000), "YES", "NO")</f>
        <v>YES</v>
      </c>
      <c r="R329" s="14">
        <f>YEAR(TBL_Employees[[#This Row],[Hire Date]])</f>
        <v>2017</v>
      </c>
    </row>
    <row r="330" spans="1:18" x14ac:dyDescent="0.35">
      <c r="A330" t="s">
        <v>726</v>
      </c>
      <c r="B330" t="s">
        <v>727</v>
      </c>
      <c r="C330" t="s">
        <v>185</v>
      </c>
      <c r="D330" t="s">
        <v>66</v>
      </c>
      <c r="E330" t="s">
        <v>36</v>
      </c>
      <c r="F330" t="s">
        <v>19</v>
      </c>
      <c r="G330" t="s">
        <v>86</v>
      </c>
      <c r="H330">
        <v>34</v>
      </c>
      <c r="I330" s="5">
        <v>42664</v>
      </c>
      <c r="J330" s="11">
        <v>52811</v>
      </c>
      <c r="K330" s="6">
        <v>0</v>
      </c>
      <c r="L330" t="s">
        <v>21</v>
      </c>
      <c r="M330" t="s">
        <v>57</v>
      </c>
      <c r="N330" s="5" t="s">
        <v>31</v>
      </c>
      <c r="O330">
        <f>TBL_Employees[[#This Row],[Bonus %]]*TBL_Employees[[#This Row],[Annual Salary]]</f>
        <v>0</v>
      </c>
      <c r="P330" t="str">
        <f>IF(TBL_Employees[[#This Row],[Age]]&gt;50,"Senior","Junior")</f>
        <v>Junior</v>
      </c>
      <c r="Q330" s="14" t="str">
        <f>IF(OR(D330="IT", J330&gt;100000), "YES", "NO")</f>
        <v>NO</v>
      </c>
      <c r="R330" s="14">
        <f>YEAR(TBL_Employees[[#This Row],[Hire Date]])</f>
        <v>2016</v>
      </c>
    </row>
    <row r="331" spans="1:18" x14ac:dyDescent="0.35">
      <c r="A331" t="s">
        <v>728</v>
      </c>
      <c r="B331" t="s">
        <v>729</v>
      </c>
      <c r="C331" t="s">
        <v>331</v>
      </c>
      <c r="D331" t="s">
        <v>17</v>
      </c>
      <c r="E331" t="s">
        <v>18</v>
      </c>
      <c r="F331" t="s">
        <v>19</v>
      </c>
      <c r="G331" t="s">
        <v>28</v>
      </c>
      <c r="H331">
        <v>28</v>
      </c>
      <c r="I331" s="5">
        <v>43763</v>
      </c>
      <c r="J331" s="11">
        <v>50111</v>
      </c>
      <c r="K331" s="6">
        <v>0</v>
      </c>
      <c r="L331" t="s">
        <v>29</v>
      </c>
      <c r="M331" t="s">
        <v>135</v>
      </c>
      <c r="N331" s="5" t="s">
        <v>31</v>
      </c>
      <c r="O331">
        <f>TBL_Employees[[#This Row],[Bonus %]]*TBL_Employees[[#This Row],[Annual Salary]]</f>
        <v>0</v>
      </c>
      <c r="P331" t="str">
        <f>IF(TBL_Employees[[#This Row],[Age]]&gt;50,"Senior","Junior")</f>
        <v>Junior</v>
      </c>
      <c r="Q331" s="14" t="str">
        <f>IF(OR(D331="IT", J331&gt;100000), "YES", "NO")</f>
        <v>YES</v>
      </c>
      <c r="R331" s="14">
        <f>YEAR(TBL_Employees[[#This Row],[Hire Date]])</f>
        <v>2019</v>
      </c>
    </row>
    <row r="332" spans="1:18" x14ac:dyDescent="0.35">
      <c r="A332" t="s">
        <v>730</v>
      </c>
      <c r="B332" t="s">
        <v>626</v>
      </c>
      <c r="C332" t="s">
        <v>486</v>
      </c>
      <c r="D332" t="s">
        <v>17</v>
      </c>
      <c r="E332" t="s">
        <v>26</v>
      </c>
      <c r="F332" t="s">
        <v>27</v>
      </c>
      <c r="G332" t="s">
        <v>20</v>
      </c>
      <c r="H332">
        <v>31</v>
      </c>
      <c r="I332" s="5">
        <v>42497</v>
      </c>
      <c r="J332" s="11">
        <v>71192</v>
      </c>
      <c r="K332" s="6">
        <v>0</v>
      </c>
      <c r="L332" t="s">
        <v>21</v>
      </c>
      <c r="M332" t="s">
        <v>61</v>
      </c>
      <c r="N332" s="5" t="s">
        <v>31</v>
      </c>
      <c r="O332">
        <f>TBL_Employees[[#This Row],[Bonus %]]*TBL_Employees[[#This Row],[Annual Salary]]</f>
        <v>0</v>
      </c>
      <c r="P332" t="str">
        <f>IF(TBL_Employees[[#This Row],[Age]]&gt;50,"Senior","Junior")</f>
        <v>Junior</v>
      </c>
      <c r="Q332" s="14" t="str">
        <f>IF(OR(D332="IT", J332&gt;100000), "YES", "NO")</f>
        <v>YES</v>
      </c>
      <c r="R332" s="14">
        <f>YEAR(TBL_Employees[[#This Row],[Hire Date]])</f>
        <v>2016</v>
      </c>
    </row>
    <row r="333" spans="1:18" x14ac:dyDescent="0.35">
      <c r="A333" t="s">
        <v>731</v>
      </c>
      <c r="B333" t="s">
        <v>732</v>
      </c>
      <c r="C333" t="s">
        <v>34</v>
      </c>
      <c r="D333" t="s">
        <v>49</v>
      </c>
      <c r="E333" t="s">
        <v>26</v>
      </c>
      <c r="F333" t="s">
        <v>19</v>
      </c>
      <c r="G333" t="s">
        <v>86</v>
      </c>
      <c r="H333">
        <v>50</v>
      </c>
      <c r="I333" s="5">
        <v>43452</v>
      </c>
      <c r="J333" s="11">
        <v>155351</v>
      </c>
      <c r="K333" s="6">
        <v>0.2</v>
      </c>
      <c r="L333" t="s">
        <v>21</v>
      </c>
      <c r="M333" t="s">
        <v>22</v>
      </c>
      <c r="N333" s="5" t="s">
        <v>31</v>
      </c>
      <c r="O333">
        <f>TBL_Employees[[#This Row],[Bonus %]]*TBL_Employees[[#This Row],[Annual Salary]]</f>
        <v>31070.2</v>
      </c>
      <c r="P333" t="str">
        <f>IF(TBL_Employees[[#This Row],[Age]]&gt;50,"Senior","Junior")</f>
        <v>Junior</v>
      </c>
      <c r="Q333" s="14" t="str">
        <f>IF(OR(D333="IT", J333&gt;100000), "YES", "NO")</f>
        <v>YES</v>
      </c>
      <c r="R333" s="14">
        <f>YEAR(TBL_Employees[[#This Row],[Hire Date]])</f>
        <v>2018</v>
      </c>
    </row>
    <row r="334" spans="1:18" x14ac:dyDescent="0.35">
      <c r="A334" t="s">
        <v>733</v>
      </c>
      <c r="B334" t="s">
        <v>734</v>
      </c>
      <c r="C334" t="s">
        <v>34</v>
      </c>
      <c r="D334" t="s">
        <v>66</v>
      </c>
      <c r="E334" t="s">
        <v>36</v>
      </c>
      <c r="F334" t="s">
        <v>27</v>
      </c>
      <c r="G334" t="s">
        <v>28</v>
      </c>
      <c r="H334">
        <v>39</v>
      </c>
      <c r="I334" s="5">
        <v>39049</v>
      </c>
      <c r="J334" s="11">
        <v>161690</v>
      </c>
      <c r="K334" s="6">
        <v>0.28999999999999998</v>
      </c>
      <c r="L334" t="s">
        <v>29</v>
      </c>
      <c r="M334" t="s">
        <v>115</v>
      </c>
      <c r="N334" s="5" t="s">
        <v>31</v>
      </c>
      <c r="O334">
        <f>TBL_Employees[[#This Row],[Bonus %]]*TBL_Employees[[#This Row],[Annual Salary]]</f>
        <v>46890.1</v>
      </c>
      <c r="P334" t="str">
        <f>IF(TBL_Employees[[#This Row],[Age]]&gt;50,"Senior","Junior")</f>
        <v>Junior</v>
      </c>
      <c r="Q334" s="14" t="str">
        <f>IF(OR(D334="IT", J334&gt;100000), "YES", "NO")</f>
        <v>YES</v>
      </c>
      <c r="R334" s="14">
        <f>YEAR(TBL_Employees[[#This Row],[Hire Date]])</f>
        <v>2006</v>
      </c>
    </row>
    <row r="335" spans="1:18" x14ac:dyDescent="0.35">
      <c r="A335" t="s">
        <v>735</v>
      </c>
      <c r="B335" t="s">
        <v>736</v>
      </c>
      <c r="C335" t="s">
        <v>278</v>
      </c>
      <c r="D335" t="s">
        <v>70</v>
      </c>
      <c r="E335" t="s">
        <v>36</v>
      </c>
      <c r="F335" t="s">
        <v>19</v>
      </c>
      <c r="G335" t="s">
        <v>28</v>
      </c>
      <c r="H335">
        <v>35</v>
      </c>
      <c r="I335" s="5">
        <v>42776</v>
      </c>
      <c r="J335" s="11">
        <v>60132</v>
      </c>
      <c r="K335" s="6">
        <v>0</v>
      </c>
      <c r="L335" t="s">
        <v>29</v>
      </c>
      <c r="M335" t="s">
        <v>30</v>
      </c>
      <c r="N335" s="5" t="s">
        <v>31</v>
      </c>
      <c r="O335">
        <f>TBL_Employees[[#This Row],[Bonus %]]*TBL_Employees[[#This Row],[Annual Salary]]</f>
        <v>0</v>
      </c>
      <c r="P335" t="str">
        <f>IF(TBL_Employees[[#This Row],[Age]]&gt;50,"Senior","Junior")</f>
        <v>Junior</v>
      </c>
      <c r="Q335" s="14" t="str">
        <f>IF(OR(D335="IT", J335&gt;100000), "YES", "NO")</f>
        <v>NO</v>
      </c>
      <c r="R335" s="14">
        <f>YEAR(TBL_Employees[[#This Row],[Hire Date]])</f>
        <v>2017</v>
      </c>
    </row>
    <row r="336" spans="1:18" x14ac:dyDescent="0.35">
      <c r="A336" t="s">
        <v>737</v>
      </c>
      <c r="B336" t="s">
        <v>738</v>
      </c>
      <c r="C336" t="s">
        <v>249</v>
      </c>
      <c r="D336" t="s">
        <v>17</v>
      </c>
      <c r="E336" t="s">
        <v>26</v>
      </c>
      <c r="F336" t="s">
        <v>27</v>
      </c>
      <c r="G336" t="s">
        <v>37</v>
      </c>
      <c r="H336">
        <v>54</v>
      </c>
      <c r="I336" s="5">
        <v>34631</v>
      </c>
      <c r="J336" s="11">
        <v>87216</v>
      </c>
      <c r="K336" s="6">
        <v>0</v>
      </c>
      <c r="L336" t="s">
        <v>21</v>
      </c>
      <c r="M336" t="s">
        <v>57</v>
      </c>
      <c r="N336" s="5" t="s">
        <v>31</v>
      </c>
      <c r="O336">
        <f>TBL_Employees[[#This Row],[Bonus %]]*TBL_Employees[[#This Row],[Annual Salary]]</f>
        <v>0</v>
      </c>
      <c r="P336" t="str">
        <f>IF(TBL_Employees[[#This Row],[Age]]&gt;50,"Senior","Junior")</f>
        <v>Senior</v>
      </c>
      <c r="Q336" s="14" t="str">
        <f>IF(OR(D336="IT", J336&gt;100000), "YES", "NO")</f>
        <v>YES</v>
      </c>
      <c r="R336" s="14">
        <f>YEAR(TBL_Employees[[#This Row],[Hire Date]])</f>
        <v>1994</v>
      </c>
    </row>
    <row r="337" spans="1:18" x14ac:dyDescent="0.35">
      <c r="A337" t="s">
        <v>739</v>
      </c>
      <c r="B337" t="s">
        <v>740</v>
      </c>
      <c r="C337" t="s">
        <v>331</v>
      </c>
      <c r="D337" t="s">
        <v>17</v>
      </c>
      <c r="E337" t="s">
        <v>50</v>
      </c>
      <c r="F337" t="s">
        <v>27</v>
      </c>
      <c r="G337" t="s">
        <v>37</v>
      </c>
      <c r="H337">
        <v>47</v>
      </c>
      <c r="I337" s="5">
        <v>43944</v>
      </c>
      <c r="J337" s="11">
        <v>50069</v>
      </c>
      <c r="K337" s="6">
        <v>0</v>
      </c>
      <c r="L337" t="s">
        <v>21</v>
      </c>
      <c r="M337" t="s">
        <v>22</v>
      </c>
      <c r="N337" s="5" t="s">
        <v>31</v>
      </c>
      <c r="O337">
        <f>TBL_Employees[[#This Row],[Bonus %]]*TBL_Employees[[#This Row],[Annual Salary]]</f>
        <v>0</v>
      </c>
      <c r="P337" t="str">
        <f>IF(TBL_Employees[[#This Row],[Age]]&gt;50,"Senior","Junior")</f>
        <v>Junior</v>
      </c>
      <c r="Q337" s="14" t="str">
        <f>IF(OR(D337="IT", J337&gt;100000), "YES", "NO")</f>
        <v>YES</v>
      </c>
      <c r="R337" s="14">
        <f>YEAR(TBL_Employees[[#This Row],[Hire Date]])</f>
        <v>2020</v>
      </c>
    </row>
    <row r="338" spans="1:18" x14ac:dyDescent="0.35">
      <c r="A338" t="s">
        <v>741</v>
      </c>
      <c r="B338" t="s">
        <v>742</v>
      </c>
      <c r="C338" t="s">
        <v>34</v>
      </c>
      <c r="D338" t="s">
        <v>17</v>
      </c>
      <c r="E338" t="s">
        <v>36</v>
      </c>
      <c r="F338" t="s">
        <v>19</v>
      </c>
      <c r="G338" t="s">
        <v>37</v>
      </c>
      <c r="H338">
        <v>26</v>
      </c>
      <c r="I338" s="5">
        <v>44403</v>
      </c>
      <c r="J338" s="11">
        <v>151108</v>
      </c>
      <c r="K338" s="6">
        <v>0.22</v>
      </c>
      <c r="L338" t="s">
        <v>21</v>
      </c>
      <c r="M338" t="s">
        <v>45</v>
      </c>
      <c r="N338" s="5" t="s">
        <v>31</v>
      </c>
      <c r="O338">
        <f>TBL_Employees[[#This Row],[Bonus %]]*TBL_Employees[[#This Row],[Annual Salary]]</f>
        <v>33243.760000000002</v>
      </c>
      <c r="P338" t="str">
        <f>IF(TBL_Employees[[#This Row],[Age]]&gt;50,"Senior","Junior")</f>
        <v>Junior</v>
      </c>
      <c r="Q338" s="14" t="str">
        <f>IF(OR(D338="IT", J338&gt;100000), "YES", "NO")</f>
        <v>YES</v>
      </c>
      <c r="R338" s="14">
        <f>YEAR(TBL_Employees[[#This Row],[Hire Date]])</f>
        <v>2021</v>
      </c>
    </row>
    <row r="339" spans="1:18" x14ac:dyDescent="0.35">
      <c r="A339" t="s">
        <v>743</v>
      </c>
      <c r="B339" t="s">
        <v>744</v>
      </c>
      <c r="C339" t="s">
        <v>41</v>
      </c>
      <c r="D339" t="s">
        <v>17</v>
      </c>
      <c r="E339" t="s">
        <v>26</v>
      </c>
      <c r="F339" t="s">
        <v>19</v>
      </c>
      <c r="G339" t="s">
        <v>28</v>
      </c>
      <c r="H339">
        <v>42</v>
      </c>
      <c r="I339" s="5">
        <v>38640</v>
      </c>
      <c r="J339" s="11">
        <v>67398</v>
      </c>
      <c r="K339" s="6">
        <v>7.0000000000000007E-2</v>
      </c>
      <c r="L339" t="s">
        <v>21</v>
      </c>
      <c r="M339" t="s">
        <v>45</v>
      </c>
      <c r="N339" s="5" t="s">
        <v>31</v>
      </c>
      <c r="O339">
        <f>TBL_Employees[[#This Row],[Bonus %]]*TBL_Employees[[#This Row],[Annual Salary]]</f>
        <v>4717.8600000000006</v>
      </c>
      <c r="P339" t="str">
        <f>IF(TBL_Employees[[#This Row],[Age]]&gt;50,"Senior","Junior")</f>
        <v>Junior</v>
      </c>
      <c r="Q339" s="14" t="str">
        <f>IF(OR(D339="IT", J339&gt;100000), "YES", "NO")</f>
        <v>YES</v>
      </c>
      <c r="R339" s="14">
        <f>YEAR(TBL_Employees[[#This Row],[Hire Date]])</f>
        <v>2005</v>
      </c>
    </row>
    <row r="340" spans="1:18" x14ac:dyDescent="0.35">
      <c r="A340" t="s">
        <v>745</v>
      </c>
      <c r="B340" t="s">
        <v>746</v>
      </c>
      <c r="C340" t="s">
        <v>278</v>
      </c>
      <c r="D340" t="s">
        <v>70</v>
      </c>
      <c r="E340" t="s">
        <v>18</v>
      </c>
      <c r="F340" t="s">
        <v>19</v>
      </c>
      <c r="G340" t="s">
        <v>86</v>
      </c>
      <c r="H340">
        <v>47</v>
      </c>
      <c r="I340" s="5">
        <v>42245</v>
      </c>
      <c r="J340" s="11">
        <v>68488</v>
      </c>
      <c r="K340" s="6">
        <v>0</v>
      </c>
      <c r="L340" t="s">
        <v>21</v>
      </c>
      <c r="M340" t="s">
        <v>22</v>
      </c>
      <c r="N340" s="5" t="s">
        <v>31</v>
      </c>
      <c r="O340">
        <f>TBL_Employees[[#This Row],[Bonus %]]*TBL_Employees[[#This Row],[Annual Salary]]</f>
        <v>0</v>
      </c>
      <c r="P340" t="str">
        <f>IF(TBL_Employees[[#This Row],[Age]]&gt;50,"Senior","Junior")</f>
        <v>Junior</v>
      </c>
      <c r="Q340" s="14" t="str">
        <f>IF(OR(D340="IT", J340&gt;100000), "YES", "NO")</f>
        <v>NO</v>
      </c>
      <c r="R340" s="14">
        <f>YEAR(TBL_Employees[[#This Row],[Hire Date]])</f>
        <v>2015</v>
      </c>
    </row>
    <row r="341" spans="1:18" x14ac:dyDescent="0.35">
      <c r="A341" t="s">
        <v>747</v>
      </c>
      <c r="B341" t="s">
        <v>748</v>
      </c>
      <c r="C341" t="s">
        <v>109</v>
      </c>
      <c r="D341" t="s">
        <v>70</v>
      </c>
      <c r="E341" t="s">
        <v>26</v>
      </c>
      <c r="F341" t="s">
        <v>19</v>
      </c>
      <c r="G341" t="s">
        <v>86</v>
      </c>
      <c r="H341">
        <v>60</v>
      </c>
      <c r="I341" s="5">
        <v>35992</v>
      </c>
      <c r="J341" s="11">
        <v>92932</v>
      </c>
      <c r="K341" s="6">
        <v>0</v>
      </c>
      <c r="L341" t="s">
        <v>21</v>
      </c>
      <c r="M341" t="s">
        <v>89</v>
      </c>
      <c r="N341" s="5" t="s">
        <v>31</v>
      </c>
      <c r="O341">
        <f>TBL_Employees[[#This Row],[Bonus %]]*TBL_Employees[[#This Row],[Annual Salary]]</f>
        <v>0</v>
      </c>
      <c r="P341" t="str">
        <f>IF(TBL_Employees[[#This Row],[Age]]&gt;50,"Senior","Junior")</f>
        <v>Senior</v>
      </c>
      <c r="Q341" s="14" t="str">
        <f>IF(OR(D341="IT", J341&gt;100000), "YES", "NO")</f>
        <v>NO</v>
      </c>
      <c r="R341" s="14">
        <f>YEAR(TBL_Employees[[#This Row],[Hire Date]])</f>
        <v>1998</v>
      </c>
    </row>
    <row r="342" spans="1:18" x14ac:dyDescent="0.35">
      <c r="A342" t="s">
        <v>749</v>
      </c>
      <c r="B342" t="s">
        <v>750</v>
      </c>
      <c r="C342" t="s">
        <v>56</v>
      </c>
      <c r="D342" t="s">
        <v>35</v>
      </c>
      <c r="E342" t="s">
        <v>50</v>
      </c>
      <c r="F342" t="s">
        <v>19</v>
      </c>
      <c r="G342" t="s">
        <v>86</v>
      </c>
      <c r="H342">
        <v>36</v>
      </c>
      <c r="I342" s="5">
        <v>39994</v>
      </c>
      <c r="J342" s="11">
        <v>43363</v>
      </c>
      <c r="K342" s="6">
        <v>0</v>
      </c>
      <c r="L342" t="s">
        <v>21</v>
      </c>
      <c r="M342" t="s">
        <v>61</v>
      </c>
      <c r="N342" s="5" t="s">
        <v>31</v>
      </c>
      <c r="O342">
        <f>TBL_Employees[[#This Row],[Bonus %]]*TBL_Employees[[#This Row],[Annual Salary]]</f>
        <v>0</v>
      </c>
      <c r="P342" t="str">
        <f>IF(TBL_Employees[[#This Row],[Age]]&gt;50,"Senior","Junior")</f>
        <v>Junior</v>
      </c>
      <c r="Q342" s="14" t="str">
        <f>IF(OR(D342="IT", J342&gt;100000), "YES", "NO")</f>
        <v>NO</v>
      </c>
      <c r="R342" s="14">
        <f>YEAR(TBL_Employees[[#This Row],[Hire Date]])</f>
        <v>2009</v>
      </c>
    </row>
    <row r="343" spans="1:18" x14ac:dyDescent="0.35">
      <c r="A343" t="s">
        <v>751</v>
      </c>
      <c r="B343" t="s">
        <v>752</v>
      </c>
      <c r="C343" t="s">
        <v>463</v>
      </c>
      <c r="D343" t="s">
        <v>17</v>
      </c>
      <c r="E343" t="s">
        <v>36</v>
      </c>
      <c r="F343" t="s">
        <v>27</v>
      </c>
      <c r="G343" t="s">
        <v>28</v>
      </c>
      <c r="H343">
        <v>31</v>
      </c>
      <c r="I343" s="5">
        <v>42780</v>
      </c>
      <c r="J343" s="11">
        <v>95963</v>
      </c>
      <c r="K343" s="6">
        <v>0</v>
      </c>
      <c r="L343" t="s">
        <v>29</v>
      </c>
      <c r="M343" t="s">
        <v>135</v>
      </c>
      <c r="N343" s="5" t="s">
        <v>31</v>
      </c>
      <c r="O343">
        <f>TBL_Employees[[#This Row],[Bonus %]]*TBL_Employees[[#This Row],[Annual Salary]]</f>
        <v>0</v>
      </c>
      <c r="P343" t="str">
        <f>IF(TBL_Employees[[#This Row],[Age]]&gt;50,"Senior","Junior")</f>
        <v>Junior</v>
      </c>
      <c r="Q343" s="14" t="str">
        <f>IF(OR(D343="IT", J343&gt;100000), "YES", "NO")</f>
        <v>YES</v>
      </c>
      <c r="R343" s="14">
        <f>YEAR(TBL_Employees[[#This Row],[Hire Date]])</f>
        <v>2017</v>
      </c>
    </row>
    <row r="344" spans="1:18" x14ac:dyDescent="0.35">
      <c r="A344" t="s">
        <v>753</v>
      </c>
      <c r="B344" t="s">
        <v>754</v>
      </c>
      <c r="C344" t="s">
        <v>53</v>
      </c>
      <c r="D344" t="s">
        <v>35</v>
      </c>
      <c r="E344" t="s">
        <v>36</v>
      </c>
      <c r="F344" t="s">
        <v>19</v>
      </c>
      <c r="G344" t="s">
        <v>86</v>
      </c>
      <c r="H344">
        <v>55</v>
      </c>
      <c r="I344" s="5">
        <v>40297</v>
      </c>
      <c r="J344" s="11">
        <v>111038</v>
      </c>
      <c r="K344" s="6">
        <v>0.05</v>
      </c>
      <c r="L344" t="s">
        <v>94</v>
      </c>
      <c r="M344" t="s">
        <v>219</v>
      </c>
      <c r="N344" s="5" t="s">
        <v>31</v>
      </c>
      <c r="O344">
        <f>TBL_Employees[[#This Row],[Bonus %]]*TBL_Employees[[#This Row],[Annual Salary]]</f>
        <v>5551.9000000000005</v>
      </c>
      <c r="P344" t="str">
        <f>IF(TBL_Employees[[#This Row],[Age]]&gt;50,"Senior","Junior")</f>
        <v>Senior</v>
      </c>
      <c r="Q344" s="14" t="str">
        <f>IF(OR(D344="IT", J344&gt;100000), "YES", "NO")</f>
        <v>YES</v>
      </c>
      <c r="R344" s="14">
        <f>YEAR(TBL_Employees[[#This Row],[Hire Date]])</f>
        <v>2010</v>
      </c>
    </row>
    <row r="345" spans="1:18" x14ac:dyDescent="0.35">
      <c r="A345" t="s">
        <v>755</v>
      </c>
      <c r="B345" t="s">
        <v>756</v>
      </c>
      <c r="C345" t="s">
        <v>80</v>
      </c>
      <c r="D345" t="s">
        <v>70</v>
      </c>
      <c r="E345" t="s">
        <v>18</v>
      </c>
      <c r="F345" t="s">
        <v>19</v>
      </c>
      <c r="G345" t="s">
        <v>37</v>
      </c>
      <c r="H345">
        <v>51</v>
      </c>
      <c r="I345" s="5">
        <v>35230</v>
      </c>
      <c r="J345" s="11">
        <v>200246</v>
      </c>
      <c r="K345" s="6">
        <v>0.34</v>
      </c>
      <c r="L345" t="s">
        <v>21</v>
      </c>
      <c r="M345" t="s">
        <v>89</v>
      </c>
      <c r="N345" s="5" t="s">
        <v>31</v>
      </c>
      <c r="O345">
        <f>TBL_Employees[[#This Row],[Bonus %]]*TBL_Employees[[#This Row],[Annual Salary]]</f>
        <v>68083.64</v>
      </c>
      <c r="P345" t="str">
        <f>IF(TBL_Employees[[#This Row],[Age]]&gt;50,"Senior","Junior")</f>
        <v>Senior</v>
      </c>
      <c r="Q345" s="14" t="str">
        <f>IF(OR(D345="IT", J345&gt;100000), "YES", "NO")</f>
        <v>YES</v>
      </c>
      <c r="R345" s="14">
        <f>YEAR(TBL_Employees[[#This Row],[Hire Date]])</f>
        <v>1996</v>
      </c>
    </row>
    <row r="346" spans="1:18" x14ac:dyDescent="0.35">
      <c r="A346" t="s">
        <v>545</v>
      </c>
      <c r="B346" t="s">
        <v>757</v>
      </c>
      <c r="C346" t="s">
        <v>80</v>
      </c>
      <c r="D346" t="s">
        <v>17</v>
      </c>
      <c r="E346" t="s">
        <v>50</v>
      </c>
      <c r="F346" t="s">
        <v>19</v>
      </c>
      <c r="G346" t="s">
        <v>37</v>
      </c>
      <c r="H346">
        <v>48</v>
      </c>
      <c r="I346" s="5">
        <v>42053</v>
      </c>
      <c r="J346" s="11">
        <v>194871</v>
      </c>
      <c r="K346" s="6">
        <v>0.35</v>
      </c>
      <c r="L346" t="s">
        <v>21</v>
      </c>
      <c r="M346" t="s">
        <v>89</v>
      </c>
      <c r="N346" s="5" t="s">
        <v>31</v>
      </c>
      <c r="O346">
        <f>TBL_Employees[[#This Row],[Bonus %]]*TBL_Employees[[#This Row],[Annual Salary]]</f>
        <v>68204.849999999991</v>
      </c>
      <c r="P346" t="str">
        <f>IF(TBL_Employees[[#This Row],[Age]]&gt;50,"Senior","Junior")</f>
        <v>Junior</v>
      </c>
      <c r="Q346" s="14" t="str">
        <f>IF(OR(D346="IT", J346&gt;100000), "YES", "NO")</f>
        <v>YES</v>
      </c>
      <c r="R346" s="14">
        <f>YEAR(TBL_Employees[[#This Row],[Hire Date]])</f>
        <v>2015</v>
      </c>
    </row>
    <row r="347" spans="1:18" x14ac:dyDescent="0.35">
      <c r="A347" t="s">
        <v>758</v>
      </c>
      <c r="B347" t="s">
        <v>759</v>
      </c>
      <c r="C347" t="s">
        <v>44</v>
      </c>
      <c r="D347" t="s">
        <v>60</v>
      </c>
      <c r="E347" t="s">
        <v>18</v>
      </c>
      <c r="F347" t="s">
        <v>27</v>
      </c>
      <c r="G347" t="s">
        <v>86</v>
      </c>
      <c r="H347">
        <v>58</v>
      </c>
      <c r="I347" s="5">
        <v>34592</v>
      </c>
      <c r="J347" s="11">
        <v>98769</v>
      </c>
      <c r="K347" s="6">
        <v>0</v>
      </c>
      <c r="L347" t="s">
        <v>94</v>
      </c>
      <c r="M347" t="s">
        <v>100</v>
      </c>
      <c r="N347" s="5">
        <v>42646</v>
      </c>
      <c r="O347">
        <f>TBL_Employees[[#This Row],[Bonus %]]*TBL_Employees[[#This Row],[Annual Salary]]</f>
        <v>0</v>
      </c>
      <c r="P347" t="str">
        <f>IF(TBL_Employees[[#This Row],[Age]]&gt;50,"Senior","Junior")</f>
        <v>Senior</v>
      </c>
      <c r="Q347" s="14" t="str">
        <f>IF(OR(D347="IT", J347&gt;100000), "YES", "NO")</f>
        <v>NO</v>
      </c>
      <c r="R347" s="14">
        <f>YEAR(TBL_Employees[[#This Row],[Hire Date]])</f>
        <v>1994</v>
      </c>
    </row>
    <row r="348" spans="1:18" x14ac:dyDescent="0.35">
      <c r="A348" t="s">
        <v>760</v>
      </c>
      <c r="B348" t="s">
        <v>761</v>
      </c>
      <c r="C348" t="s">
        <v>48</v>
      </c>
      <c r="D348" t="s">
        <v>49</v>
      </c>
      <c r="E348" t="s">
        <v>18</v>
      </c>
      <c r="F348" t="s">
        <v>19</v>
      </c>
      <c r="G348" t="s">
        <v>86</v>
      </c>
      <c r="H348">
        <v>29</v>
      </c>
      <c r="I348" s="5">
        <v>43239</v>
      </c>
      <c r="J348" s="11">
        <v>65334</v>
      </c>
      <c r="K348" s="6">
        <v>0</v>
      </c>
      <c r="L348" t="s">
        <v>94</v>
      </c>
      <c r="M348" t="s">
        <v>100</v>
      </c>
      <c r="N348" s="5" t="s">
        <v>31</v>
      </c>
      <c r="O348">
        <f>TBL_Employees[[#This Row],[Bonus %]]*TBL_Employees[[#This Row],[Annual Salary]]</f>
        <v>0</v>
      </c>
      <c r="P348" t="str">
        <f>IF(TBL_Employees[[#This Row],[Age]]&gt;50,"Senior","Junior")</f>
        <v>Junior</v>
      </c>
      <c r="Q348" s="14" t="str">
        <f>IF(OR(D348="IT", J348&gt;100000), "YES", "NO")</f>
        <v>NO</v>
      </c>
      <c r="R348" s="14">
        <f>YEAR(TBL_Employees[[#This Row],[Hire Date]])</f>
        <v>2018</v>
      </c>
    </row>
    <row r="349" spans="1:18" x14ac:dyDescent="0.35">
      <c r="A349" t="s">
        <v>762</v>
      </c>
      <c r="B349" t="s">
        <v>763</v>
      </c>
      <c r="C349" t="s">
        <v>25</v>
      </c>
      <c r="D349" t="s">
        <v>17</v>
      </c>
      <c r="E349" t="s">
        <v>26</v>
      </c>
      <c r="F349" t="s">
        <v>19</v>
      </c>
      <c r="G349" t="s">
        <v>86</v>
      </c>
      <c r="H349">
        <v>25</v>
      </c>
      <c r="I349" s="5">
        <v>44327</v>
      </c>
      <c r="J349" s="11">
        <v>83934</v>
      </c>
      <c r="K349" s="6">
        <v>0</v>
      </c>
      <c r="L349" t="s">
        <v>21</v>
      </c>
      <c r="M349" t="s">
        <v>57</v>
      </c>
      <c r="N349" s="5" t="s">
        <v>31</v>
      </c>
      <c r="O349">
        <f>TBL_Employees[[#This Row],[Bonus %]]*TBL_Employees[[#This Row],[Annual Salary]]</f>
        <v>0</v>
      </c>
      <c r="P349" t="str">
        <f>IF(TBL_Employees[[#This Row],[Age]]&gt;50,"Senior","Junior")</f>
        <v>Junior</v>
      </c>
      <c r="Q349" s="14" t="str">
        <f>IF(OR(D349="IT", J349&gt;100000), "YES", "NO")</f>
        <v>YES</v>
      </c>
      <c r="R349" s="14">
        <f>YEAR(TBL_Employees[[#This Row],[Hire Date]])</f>
        <v>2021</v>
      </c>
    </row>
    <row r="350" spans="1:18" x14ac:dyDescent="0.35">
      <c r="A350" t="s">
        <v>764</v>
      </c>
      <c r="B350" t="s">
        <v>765</v>
      </c>
      <c r="C350" t="s">
        <v>34</v>
      </c>
      <c r="D350" t="s">
        <v>60</v>
      </c>
      <c r="E350" t="s">
        <v>18</v>
      </c>
      <c r="F350" t="s">
        <v>27</v>
      </c>
      <c r="G350" t="s">
        <v>37</v>
      </c>
      <c r="H350">
        <v>36</v>
      </c>
      <c r="I350" s="5">
        <v>42616</v>
      </c>
      <c r="J350" s="11">
        <v>150399</v>
      </c>
      <c r="K350" s="6">
        <v>0.28000000000000003</v>
      </c>
      <c r="L350" t="s">
        <v>21</v>
      </c>
      <c r="M350" t="s">
        <v>38</v>
      </c>
      <c r="N350" s="5" t="s">
        <v>31</v>
      </c>
      <c r="O350">
        <f>TBL_Employees[[#This Row],[Bonus %]]*TBL_Employees[[#This Row],[Annual Salary]]</f>
        <v>42111.72</v>
      </c>
      <c r="P350" t="str">
        <f>IF(TBL_Employees[[#This Row],[Age]]&gt;50,"Senior","Junior")</f>
        <v>Junior</v>
      </c>
      <c r="Q350" s="14" t="str">
        <f>IF(OR(D350="IT", J350&gt;100000), "YES", "NO")</f>
        <v>YES</v>
      </c>
      <c r="R350" s="14">
        <f>YEAR(TBL_Employees[[#This Row],[Hire Date]])</f>
        <v>2016</v>
      </c>
    </row>
    <row r="351" spans="1:18" x14ac:dyDescent="0.35">
      <c r="A351" t="s">
        <v>766</v>
      </c>
      <c r="B351" t="s">
        <v>767</v>
      </c>
      <c r="C351" t="s">
        <v>34</v>
      </c>
      <c r="D351" t="s">
        <v>66</v>
      </c>
      <c r="E351" t="s">
        <v>18</v>
      </c>
      <c r="F351" t="s">
        <v>27</v>
      </c>
      <c r="G351" t="s">
        <v>28</v>
      </c>
      <c r="H351">
        <v>37</v>
      </c>
      <c r="I351" s="5">
        <v>41048</v>
      </c>
      <c r="J351" s="11">
        <v>160280</v>
      </c>
      <c r="K351" s="6">
        <v>0.19</v>
      </c>
      <c r="L351" t="s">
        <v>29</v>
      </c>
      <c r="M351" t="s">
        <v>115</v>
      </c>
      <c r="N351" s="5" t="s">
        <v>31</v>
      </c>
      <c r="O351">
        <f>TBL_Employees[[#This Row],[Bonus %]]*TBL_Employees[[#This Row],[Annual Salary]]</f>
        <v>30453.200000000001</v>
      </c>
      <c r="P351" t="str">
        <f>IF(TBL_Employees[[#This Row],[Age]]&gt;50,"Senior","Junior")</f>
        <v>Junior</v>
      </c>
      <c r="Q351" s="14" t="str">
        <f>IF(OR(D351="IT", J351&gt;100000), "YES", "NO")</f>
        <v>YES</v>
      </c>
      <c r="R351" s="14">
        <f>YEAR(TBL_Employees[[#This Row],[Hire Date]])</f>
        <v>2012</v>
      </c>
    </row>
    <row r="352" spans="1:18" x14ac:dyDescent="0.35">
      <c r="A352" t="s">
        <v>768</v>
      </c>
      <c r="B352" t="s">
        <v>769</v>
      </c>
      <c r="C352" t="s">
        <v>185</v>
      </c>
      <c r="D352" t="s">
        <v>66</v>
      </c>
      <c r="E352" t="s">
        <v>36</v>
      </c>
      <c r="F352" t="s">
        <v>27</v>
      </c>
      <c r="G352" t="s">
        <v>28</v>
      </c>
      <c r="H352">
        <v>57</v>
      </c>
      <c r="I352" s="5">
        <v>35548</v>
      </c>
      <c r="J352" s="11">
        <v>54051</v>
      </c>
      <c r="K352" s="6">
        <v>0</v>
      </c>
      <c r="L352" t="s">
        <v>21</v>
      </c>
      <c r="M352" t="s">
        <v>57</v>
      </c>
      <c r="N352" s="5">
        <v>36079</v>
      </c>
      <c r="O352">
        <f>TBL_Employees[[#This Row],[Bonus %]]*TBL_Employees[[#This Row],[Annual Salary]]</f>
        <v>0</v>
      </c>
      <c r="P352" t="str">
        <f>IF(TBL_Employees[[#This Row],[Age]]&gt;50,"Senior","Junior")</f>
        <v>Senior</v>
      </c>
      <c r="Q352" s="14" t="str">
        <f>IF(OR(D352="IT", J352&gt;100000), "YES", "NO")</f>
        <v>NO</v>
      </c>
      <c r="R352" s="14">
        <f>YEAR(TBL_Employees[[#This Row],[Hire Date]])</f>
        <v>1997</v>
      </c>
    </row>
    <row r="353" spans="1:18" x14ac:dyDescent="0.35">
      <c r="A353" t="s">
        <v>770</v>
      </c>
      <c r="B353" t="s">
        <v>771</v>
      </c>
      <c r="C353" t="s">
        <v>34</v>
      </c>
      <c r="D353" t="s">
        <v>70</v>
      </c>
      <c r="E353" t="s">
        <v>18</v>
      </c>
      <c r="F353" t="s">
        <v>19</v>
      </c>
      <c r="G353" t="s">
        <v>86</v>
      </c>
      <c r="H353">
        <v>59</v>
      </c>
      <c r="I353" s="5">
        <v>37726</v>
      </c>
      <c r="J353" s="11">
        <v>150699</v>
      </c>
      <c r="K353" s="6">
        <v>0.28999999999999998</v>
      </c>
      <c r="L353" t="s">
        <v>94</v>
      </c>
      <c r="M353" t="s">
        <v>219</v>
      </c>
      <c r="N353" s="5" t="s">
        <v>31</v>
      </c>
      <c r="O353">
        <f>TBL_Employees[[#This Row],[Bonus %]]*TBL_Employees[[#This Row],[Annual Salary]]</f>
        <v>43702.71</v>
      </c>
      <c r="P353" t="str">
        <f>IF(TBL_Employees[[#This Row],[Age]]&gt;50,"Senior","Junior")</f>
        <v>Senior</v>
      </c>
      <c r="Q353" s="14" t="str">
        <f>IF(OR(D353="IT", J353&gt;100000), "YES", "NO")</f>
        <v>YES</v>
      </c>
      <c r="R353" s="14">
        <f>YEAR(TBL_Employees[[#This Row],[Hire Date]])</f>
        <v>2003</v>
      </c>
    </row>
    <row r="354" spans="1:18" x14ac:dyDescent="0.35">
      <c r="A354" t="s">
        <v>772</v>
      </c>
      <c r="B354" t="s">
        <v>773</v>
      </c>
      <c r="C354" t="s">
        <v>125</v>
      </c>
      <c r="D354" t="s">
        <v>81</v>
      </c>
      <c r="E354" t="s">
        <v>36</v>
      </c>
      <c r="F354" t="s">
        <v>27</v>
      </c>
      <c r="G354" t="s">
        <v>86</v>
      </c>
      <c r="H354">
        <v>37</v>
      </c>
      <c r="I354" s="5">
        <v>41363</v>
      </c>
      <c r="J354" s="11">
        <v>69570</v>
      </c>
      <c r="K354" s="6">
        <v>0</v>
      </c>
      <c r="L354" t="s">
        <v>21</v>
      </c>
      <c r="M354" t="s">
        <v>57</v>
      </c>
      <c r="N354" s="5" t="s">
        <v>31</v>
      </c>
      <c r="O354">
        <f>TBL_Employees[[#This Row],[Bonus %]]*TBL_Employees[[#This Row],[Annual Salary]]</f>
        <v>0</v>
      </c>
      <c r="P354" t="str">
        <f>IF(TBL_Employees[[#This Row],[Age]]&gt;50,"Senior","Junior")</f>
        <v>Junior</v>
      </c>
      <c r="Q354" s="14" t="str">
        <f>IF(OR(D354="IT", J354&gt;100000), "YES", "NO")</f>
        <v>NO</v>
      </c>
      <c r="R354" s="14">
        <f>YEAR(TBL_Employees[[#This Row],[Hire Date]])</f>
        <v>2013</v>
      </c>
    </row>
    <row r="355" spans="1:18" x14ac:dyDescent="0.35">
      <c r="A355" t="s">
        <v>774</v>
      </c>
      <c r="B355" t="s">
        <v>775</v>
      </c>
      <c r="C355" t="s">
        <v>463</v>
      </c>
      <c r="D355" t="s">
        <v>17</v>
      </c>
      <c r="E355" t="s">
        <v>26</v>
      </c>
      <c r="F355" t="s">
        <v>19</v>
      </c>
      <c r="G355" t="s">
        <v>28</v>
      </c>
      <c r="H355">
        <v>30</v>
      </c>
      <c r="I355" s="5">
        <v>43553</v>
      </c>
      <c r="J355" s="11">
        <v>86774</v>
      </c>
      <c r="K355" s="6">
        <v>0</v>
      </c>
      <c r="L355" t="s">
        <v>29</v>
      </c>
      <c r="M355" t="s">
        <v>135</v>
      </c>
      <c r="N355" s="5" t="s">
        <v>31</v>
      </c>
      <c r="O355">
        <f>TBL_Employees[[#This Row],[Bonus %]]*TBL_Employees[[#This Row],[Annual Salary]]</f>
        <v>0</v>
      </c>
      <c r="P355" t="str">
        <f>IF(TBL_Employees[[#This Row],[Age]]&gt;50,"Senior","Junior")</f>
        <v>Junior</v>
      </c>
      <c r="Q355" s="14" t="str">
        <f>IF(OR(D355="IT", J355&gt;100000), "YES", "NO")</f>
        <v>YES</v>
      </c>
      <c r="R355" s="14">
        <f>YEAR(TBL_Employees[[#This Row],[Hire Date]])</f>
        <v>2019</v>
      </c>
    </row>
    <row r="356" spans="1:18" x14ac:dyDescent="0.35">
      <c r="A356" t="s">
        <v>776</v>
      </c>
      <c r="B356" t="s">
        <v>777</v>
      </c>
      <c r="C356" t="s">
        <v>165</v>
      </c>
      <c r="D356" t="s">
        <v>66</v>
      </c>
      <c r="E356" t="s">
        <v>26</v>
      </c>
      <c r="F356" t="s">
        <v>27</v>
      </c>
      <c r="G356" t="s">
        <v>37</v>
      </c>
      <c r="H356">
        <v>49</v>
      </c>
      <c r="I356" s="5">
        <v>36979</v>
      </c>
      <c r="J356" s="11">
        <v>57606</v>
      </c>
      <c r="K356" s="6">
        <v>0</v>
      </c>
      <c r="L356" t="s">
        <v>21</v>
      </c>
      <c r="M356" t="s">
        <v>57</v>
      </c>
      <c r="N356" s="5" t="s">
        <v>31</v>
      </c>
      <c r="O356">
        <f>TBL_Employees[[#This Row],[Bonus %]]*TBL_Employees[[#This Row],[Annual Salary]]</f>
        <v>0</v>
      </c>
      <c r="P356" t="str">
        <f>IF(TBL_Employees[[#This Row],[Age]]&gt;50,"Senior","Junior")</f>
        <v>Junior</v>
      </c>
      <c r="Q356" s="14" t="str">
        <f>IF(OR(D356="IT", J356&gt;100000), "YES", "NO")</f>
        <v>NO</v>
      </c>
      <c r="R356" s="14">
        <f>YEAR(TBL_Employees[[#This Row],[Hire Date]])</f>
        <v>2001</v>
      </c>
    </row>
    <row r="357" spans="1:18" x14ac:dyDescent="0.35">
      <c r="A357" t="s">
        <v>778</v>
      </c>
      <c r="B357" t="s">
        <v>779</v>
      </c>
      <c r="C357" t="s">
        <v>16</v>
      </c>
      <c r="D357" t="s">
        <v>35</v>
      </c>
      <c r="E357" t="s">
        <v>50</v>
      </c>
      <c r="F357" t="s">
        <v>19</v>
      </c>
      <c r="G357" t="s">
        <v>28</v>
      </c>
      <c r="H357">
        <v>48</v>
      </c>
      <c r="I357" s="5">
        <v>37144</v>
      </c>
      <c r="J357" s="11">
        <v>125730</v>
      </c>
      <c r="K357" s="6">
        <v>0.11</v>
      </c>
      <c r="L357" t="s">
        <v>29</v>
      </c>
      <c r="M357" t="s">
        <v>30</v>
      </c>
      <c r="N357" s="5" t="s">
        <v>31</v>
      </c>
      <c r="O357">
        <f>TBL_Employees[[#This Row],[Bonus %]]*TBL_Employees[[#This Row],[Annual Salary]]</f>
        <v>13830.3</v>
      </c>
      <c r="P357" t="str">
        <f>IF(TBL_Employees[[#This Row],[Age]]&gt;50,"Senior","Junior")</f>
        <v>Junior</v>
      </c>
      <c r="Q357" s="14" t="str">
        <f>IF(OR(D357="IT", J357&gt;100000), "YES", "NO")</f>
        <v>YES</v>
      </c>
      <c r="R357" s="14">
        <f>YEAR(TBL_Employees[[#This Row],[Hire Date]])</f>
        <v>2001</v>
      </c>
    </row>
    <row r="358" spans="1:18" x14ac:dyDescent="0.35">
      <c r="A358" t="s">
        <v>780</v>
      </c>
      <c r="B358" t="s">
        <v>781</v>
      </c>
      <c r="C358" t="s">
        <v>300</v>
      </c>
      <c r="D358" t="s">
        <v>17</v>
      </c>
      <c r="E358" t="s">
        <v>18</v>
      </c>
      <c r="F358" t="s">
        <v>19</v>
      </c>
      <c r="G358" t="s">
        <v>28</v>
      </c>
      <c r="H358">
        <v>51</v>
      </c>
      <c r="I358" s="5">
        <v>40964</v>
      </c>
      <c r="J358" s="11">
        <v>64170</v>
      </c>
      <c r="K358" s="6">
        <v>0</v>
      </c>
      <c r="L358" t="s">
        <v>21</v>
      </c>
      <c r="M358" t="s">
        <v>89</v>
      </c>
      <c r="N358" s="5" t="s">
        <v>31</v>
      </c>
      <c r="O358">
        <f>TBL_Employees[[#This Row],[Bonus %]]*TBL_Employees[[#This Row],[Annual Salary]]</f>
        <v>0</v>
      </c>
      <c r="P358" t="str">
        <f>IF(TBL_Employees[[#This Row],[Age]]&gt;50,"Senior","Junior")</f>
        <v>Senior</v>
      </c>
      <c r="Q358" s="14" t="str">
        <f>IF(OR(D358="IT", J358&gt;100000), "YES", "NO")</f>
        <v>YES</v>
      </c>
      <c r="R358" s="14">
        <f>YEAR(TBL_Employees[[#This Row],[Hire Date]])</f>
        <v>2012</v>
      </c>
    </row>
    <row r="359" spans="1:18" x14ac:dyDescent="0.35">
      <c r="A359" t="s">
        <v>782</v>
      </c>
      <c r="B359" t="s">
        <v>783</v>
      </c>
      <c r="C359" t="s">
        <v>144</v>
      </c>
      <c r="D359" t="s">
        <v>66</v>
      </c>
      <c r="E359" t="s">
        <v>36</v>
      </c>
      <c r="F359" t="s">
        <v>27</v>
      </c>
      <c r="G359" t="s">
        <v>86</v>
      </c>
      <c r="H359">
        <v>56</v>
      </c>
      <c r="I359" s="5">
        <v>35816</v>
      </c>
      <c r="J359" s="11">
        <v>72303</v>
      </c>
      <c r="K359" s="6">
        <v>0</v>
      </c>
      <c r="L359" t="s">
        <v>21</v>
      </c>
      <c r="M359" t="s">
        <v>45</v>
      </c>
      <c r="N359" s="5" t="s">
        <v>31</v>
      </c>
      <c r="O359">
        <f>TBL_Employees[[#This Row],[Bonus %]]*TBL_Employees[[#This Row],[Annual Salary]]</f>
        <v>0</v>
      </c>
      <c r="P359" t="str">
        <f>IF(TBL_Employees[[#This Row],[Age]]&gt;50,"Senior","Junior")</f>
        <v>Senior</v>
      </c>
      <c r="Q359" s="14" t="str">
        <f>IF(OR(D359="IT", J359&gt;100000), "YES", "NO")</f>
        <v>NO</v>
      </c>
      <c r="R359" s="14">
        <f>YEAR(TBL_Employees[[#This Row],[Hire Date]])</f>
        <v>1998</v>
      </c>
    </row>
    <row r="360" spans="1:18" x14ac:dyDescent="0.35">
      <c r="A360" t="s">
        <v>784</v>
      </c>
      <c r="B360" t="s">
        <v>785</v>
      </c>
      <c r="C360" t="s">
        <v>53</v>
      </c>
      <c r="D360" t="s">
        <v>49</v>
      </c>
      <c r="E360" t="s">
        <v>18</v>
      </c>
      <c r="F360" t="s">
        <v>27</v>
      </c>
      <c r="G360" t="s">
        <v>86</v>
      </c>
      <c r="H360">
        <v>36</v>
      </c>
      <c r="I360" s="5">
        <v>41116</v>
      </c>
      <c r="J360" s="11">
        <v>105891</v>
      </c>
      <c r="K360" s="6">
        <v>7.0000000000000007E-2</v>
      </c>
      <c r="L360" t="s">
        <v>21</v>
      </c>
      <c r="M360" t="s">
        <v>22</v>
      </c>
      <c r="N360" s="5" t="s">
        <v>31</v>
      </c>
      <c r="O360">
        <f>TBL_Employees[[#This Row],[Bonus %]]*TBL_Employees[[#This Row],[Annual Salary]]</f>
        <v>7412.3700000000008</v>
      </c>
      <c r="P360" t="str">
        <f>IF(TBL_Employees[[#This Row],[Age]]&gt;50,"Senior","Junior")</f>
        <v>Junior</v>
      </c>
      <c r="Q360" s="14" t="str">
        <f>IF(OR(D360="IT", J360&gt;100000), "YES", "NO")</f>
        <v>YES</v>
      </c>
      <c r="R360" s="14">
        <f>YEAR(TBL_Employees[[#This Row],[Hire Date]])</f>
        <v>2012</v>
      </c>
    </row>
    <row r="361" spans="1:18" x14ac:dyDescent="0.35">
      <c r="A361" t="s">
        <v>449</v>
      </c>
      <c r="B361" t="s">
        <v>786</v>
      </c>
      <c r="C361" t="s">
        <v>80</v>
      </c>
      <c r="D361" t="s">
        <v>81</v>
      </c>
      <c r="E361" t="s">
        <v>36</v>
      </c>
      <c r="F361" t="s">
        <v>27</v>
      </c>
      <c r="G361" t="s">
        <v>28</v>
      </c>
      <c r="H361">
        <v>38</v>
      </c>
      <c r="I361" s="5">
        <v>44433</v>
      </c>
      <c r="J361" s="11">
        <v>255230</v>
      </c>
      <c r="K361" s="6">
        <v>0.36</v>
      </c>
      <c r="L361" t="s">
        <v>21</v>
      </c>
      <c r="M361" t="s">
        <v>61</v>
      </c>
      <c r="N361" s="5" t="s">
        <v>31</v>
      </c>
      <c r="O361">
        <f>TBL_Employees[[#This Row],[Bonus %]]*TBL_Employees[[#This Row],[Annual Salary]]</f>
        <v>91882.8</v>
      </c>
      <c r="P361" t="str">
        <f>IF(TBL_Employees[[#This Row],[Age]]&gt;50,"Senior","Junior")</f>
        <v>Junior</v>
      </c>
      <c r="Q361" s="14" t="str">
        <f>IF(OR(D361="IT", J361&gt;100000), "YES", "NO")</f>
        <v>YES</v>
      </c>
      <c r="R361" s="14">
        <f>YEAR(TBL_Employees[[#This Row],[Hire Date]])</f>
        <v>2021</v>
      </c>
    </row>
    <row r="362" spans="1:18" x14ac:dyDescent="0.35">
      <c r="A362" t="s">
        <v>787</v>
      </c>
      <c r="B362" t="s">
        <v>788</v>
      </c>
      <c r="C362" t="s">
        <v>125</v>
      </c>
      <c r="D362" t="s">
        <v>49</v>
      </c>
      <c r="E362" t="s">
        <v>26</v>
      </c>
      <c r="F362" t="s">
        <v>19</v>
      </c>
      <c r="G362" t="s">
        <v>86</v>
      </c>
      <c r="H362">
        <v>56</v>
      </c>
      <c r="I362" s="5">
        <v>33770</v>
      </c>
      <c r="J362" s="11">
        <v>59591</v>
      </c>
      <c r="K362" s="6">
        <v>0</v>
      </c>
      <c r="L362" t="s">
        <v>94</v>
      </c>
      <c r="M362" t="s">
        <v>219</v>
      </c>
      <c r="N362" s="5" t="s">
        <v>31</v>
      </c>
      <c r="O362">
        <f>TBL_Employees[[#This Row],[Bonus %]]*TBL_Employees[[#This Row],[Annual Salary]]</f>
        <v>0</v>
      </c>
      <c r="P362" t="str">
        <f>IF(TBL_Employees[[#This Row],[Age]]&gt;50,"Senior","Junior")</f>
        <v>Senior</v>
      </c>
      <c r="Q362" s="14" t="str">
        <f>IF(OR(D362="IT", J362&gt;100000), "YES", "NO")</f>
        <v>NO</v>
      </c>
      <c r="R362" s="14">
        <f>YEAR(TBL_Employees[[#This Row],[Hire Date]])</f>
        <v>1992</v>
      </c>
    </row>
    <row r="363" spans="1:18" x14ac:dyDescent="0.35">
      <c r="A363" t="s">
        <v>789</v>
      </c>
      <c r="B363" t="s">
        <v>790</v>
      </c>
      <c r="C363" t="s">
        <v>80</v>
      </c>
      <c r="D363" t="s">
        <v>66</v>
      </c>
      <c r="E363" t="s">
        <v>26</v>
      </c>
      <c r="F363" t="s">
        <v>19</v>
      </c>
      <c r="G363" t="s">
        <v>28</v>
      </c>
      <c r="H363">
        <v>52</v>
      </c>
      <c r="I363" s="5">
        <v>41113</v>
      </c>
      <c r="J363" s="11">
        <v>187048</v>
      </c>
      <c r="K363" s="6">
        <v>0.32</v>
      </c>
      <c r="L363" t="s">
        <v>29</v>
      </c>
      <c r="M363" t="s">
        <v>135</v>
      </c>
      <c r="N363" s="5" t="s">
        <v>31</v>
      </c>
      <c r="O363">
        <f>TBL_Employees[[#This Row],[Bonus %]]*TBL_Employees[[#This Row],[Annual Salary]]</f>
        <v>59855.360000000001</v>
      </c>
      <c r="P363" t="str">
        <f>IF(TBL_Employees[[#This Row],[Age]]&gt;50,"Senior","Junior")</f>
        <v>Senior</v>
      </c>
      <c r="Q363" s="14" t="str">
        <f>IF(OR(D363="IT", J363&gt;100000), "YES", "NO")</f>
        <v>YES</v>
      </c>
      <c r="R363" s="14">
        <f>YEAR(TBL_Employees[[#This Row],[Hire Date]])</f>
        <v>2012</v>
      </c>
    </row>
    <row r="364" spans="1:18" x14ac:dyDescent="0.35">
      <c r="A364" t="s">
        <v>791</v>
      </c>
      <c r="B364" t="s">
        <v>792</v>
      </c>
      <c r="C364" t="s">
        <v>125</v>
      </c>
      <c r="D364" t="s">
        <v>35</v>
      </c>
      <c r="E364" t="s">
        <v>36</v>
      </c>
      <c r="F364" t="s">
        <v>19</v>
      </c>
      <c r="G364" t="s">
        <v>86</v>
      </c>
      <c r="H364">
        <v>53</v>
      </c>
      <c r="I364" s="5">
        <v>37296</v>
      </c>
      <c r="J364" s="11">
        <v>58605</v>
      </c>
      <c r="K364" s="6">
        <v>0</v>
      </c>
      <c r="L364" t="s">
        <v>21</v>
      </c>
      <c r="M364" t="s">
        <v>45</v>
      </c>
      <c r="N364" s="5" t="s">
        <v>31</v>
      </c>
      <c r="O364">
        <f>TBL_Employees[[#This Row],[Bonus %]]*TBL_Employees[[#This Row],[Annual Salary]]</f>
        <v>0</v>
      </c>
      <c r="P364" t="str">
        <f>IF(TBL_Employees[[#This Row],[Age]]&gt;50,"Senior","Junior")</f>
        <v>Senior</v>
      </c>
      <c r="Q364" s="14" t="str">
        <f>IF(OR(D364="IT", J364&gt;100000), "YES", "NO")</f>
        <v>NO</v>
      </c>
      <c r="R364" s="14">
        <f>YEAR(TBL_Employees[[#This Row],[Hire Date]])</f>
        <v>2002</v>
      </c>
    </row>
    <row r="365" spans="1:18" x14ac:dyDescent="0.35">
      <c r="A365" t="s">
        <v>793</v>
      </c>
      <c r="B365" t="s">
        <v>794</v>
      </c>
      <c r="C365" t="s">
        <v>34</v>
      </c>
      <c r="D365" t="s">
        <v>70</v>
      </c>
      <c r="E365" t="s">
        <v>50</v>
      </c>
      <c r="F365" t="s">
        <v>19</v>
      </c>
      <c r="G365" t="s">
        <v>86</v>
      </c>
      <c r="H365">
        <v>60</v>
      </c>
      <c r="I365" s="5">
        <v>42739</v>
      </c>
      <c r="J365" s="11">
        <v>178502</v>
      </c>
      <c r="K365" s="6">
        <v>0.2</v>
      </c>
      <c r="L365" t="s">
        <v>21</v>
      </c>
      <c r="M365" t="s">
        <v>61</v>
      </c>
      <c r="N365" s="5" t="s">
        <v>31</v>
      </c>
      <c r="O365">
        <f>TBL_Employees[[#This Row],[Bonus %]]*TBL_Employees[[#This Row],[Annual Salary]]</f>
        <v>35700.400000000001</v>
      </c>
      <c r="P365" t="str">
        <f>IF(TBL_Employees[[#This Row],[Age]]&gt;50,"Senior","Junior")</f>
        <v>Senior</v>
      </c>
      <c r="Q365" s="14" t="str">
        <f>IF(OR(D365="IT", J365&gt;100000), "YES", "NO")</f>
        <v>YES</v>
      </c>
      <c r="R365" s="14">
        <f>YEAR(TBL_Employees[[#This Row],[Hire Date]])</f>
        <v>2017</v>
      </c>
    </row>
    <row r="366" spans="1:18" x14ac:dyDescent="0.35">
      <c r="A366" t="s">
        <v>795</v>
      </c>
      <c r="B366" t="s">
        <v>796</v>
      </c>
      <c r="C366" t="s">
        <v>53</v>
      </c>
      <c r="D366" t="s">
        <v>60</v>
      </c>
      <c r="E366" t="s">
        <v>36</v>
      </c>
      <c r="F366" t="s">
        <v>27</v>
      </c>
      <c r="G366" t="s">
        <v>28</v>
      </c>
      <c r="H366">
        <v>63</v>
      </c>
      <c r="I366" s="5">
        <v>42214</v>
      </c>
      <c r="J366" s="11">
        <v>103724</v>
      </c>
      <c r="K366" s="6">
        <v>0.05</v>
      </c>
      <c r="L366" t="s">
        <v>29</v>
      </c>
      <c r="M366" t="s">
        <v>75</v>
      </c>
      <c r="N366" s="5" t="s">
        <v>31</v>
      </c>
      <c r="O366">
        <f>TBL_Employees[[#This Row],[Bonus %]]*TBL_Employees[[#This Row],[Annual Salary]]</f>
        <v>5186.2000000000007</v>
      </c>
      <c r="P366" t="str">
        <f>IF(TBL_Employees[[#This Row],[Age]]&gt;50,"Senior","Junior")</f>
        <v>Senior</v>
      </c>
      <c r="Q366" s="14" t="str">
        <f>IF(OR(D366="IT", J366&gt;100000), "YES", "NO")</f>
        <v>YES</v>
      </c>
      <c r="R366" s="14">
        <f>YEAR(TBL_Employees[[#This Row],[Hire Date]])</f>
        <v>2015</v>
      </c>
    </row>
    <row r="367" spans="1:18" x14ac:dyDescent="0.35">
      <c r="A367" t="s">
        <v>797</v>
      </c>
      <c r="B367" t="s">
        <v>798</v>
      </c>
      <c r="C367" t="s">
        <v>34</v>
      </c>
      <c r="D367" t="s">
        <v>70</v>
      </c>
      <c r="E367" t="s">
        <v>18</v>
      </c>
      <c r="F367" t="s">
        <v>19</v>
      </c>
      <c r="G367" t="s">
        <v>86</v>
      </c>
      <c r="H367">
        <v>37</v>
      </c>
      <c r="I367" s="5">
        <v>39528</v>
      </c>
      <c r="J367" s="11">
        <v>156277</v>
      </c>
      <c r="K367" s="6">
        <v>0.22</v>
      </c>
      <c r="L367" t="s">
        <v>94</v>
      </c>
      <c r="M367" t="s">
        <v>95</v>
      </c>
      <c r="N367" s="5" t="s">
        <v>31</v>
      </c>
      <c r="O367">
        <f>TBL_Employees[[#This Row],[Bonus %]]*TBL_Employees[[#This Row],[Annual Salary]]</f>
        <v>34380.94</v>
      </c>
      <c r="P367" t="str">
        <f>IF(TBL_Employees[[#This Row],[Age]]&gt;50,"Senior","Junior")</f>
        <v>Junior</v>
      </c>
      <c r="Q367" s="14" t="str">
        <f>IF(OR(D367="IT", J367&gt;100000), "YES", "NO")</f>
        <v>YES</v>
      </c>
      <c r="R367" s="14">
        <f>YEAR(TBL_Employees[[#This Row],[Hire Date]])</f>
        <v>2008</v>
      </c>
    </row>
    <row r="368" spans="1:18" x14ac:dyDescent="0.35">
      <c r="A368" t="s">
        <v>799</v>
      </c>
      <c r="B368" t="s">
        <v>800</v>
      </c>
      <c r="C368" t="s">
        <v>176</v>
      </c>
      <c r="D368" t="s">
        <v>70</v>
      </c>
      <c r="E368" t="s">
        <v>18</v>
      </c>
      <c r="F368" t="s">
        <v>19</v>
      </c>
      <c r="G368" t="s">
        <v>86</v>
      </c>
      <c r="H368">
        <v>30</v>
      </c>
      <c r="I368" s="5">
        <v>43086</v>
      </c>
      <c r="J368" s="11">
        <v>87744</v>
      </c>
      <c r="K368" s="6">
        <v>0</v>
      </c>
      <c r="L368" t="s">
        <v>94</v>
      </c>
      <c r="M368" t="s">
        <v>219</v>
      </c>
      <c r="N368" s="5" t="s">
        <v>31</v>
      </c>
      <c r="O368">
        <f>TBL_Employees[[#This Row],[Bonus %]]*TBL_Employees[[#This Row],[Annual Salary]]</f>
        <v>0</v>
      </c>
      <c r="P368" t="str">
        <f>IF(TBL_Employees[[#This Row],[Age]]&gt;50,"Senior","Junior")</f>
        <v>Junior</v>
      </c>
      <c r="Q368" s="14" t="str">
        <f>IF(OR(D368="IT", J368&gt;100000), "YES", "NO")</f>
        <v>NO</v>
      </c>
      <c r="R368" s="14">
        <f>YEAR(TBL_Employees[[#This Row],[Hire Date]])</f>
        <v>2017</v>
      </c>
    </row>
    <row r="369" spans="1:18" x14ac:dyDescent="0.35">
      <c r="A369" t="s">
        <v>801</v>
      </c>
      <c r="B369" t="s">
        <v>802</v>
      </c>
      <c r="C369" t="s">
        <v>125</v>
      </c>
      <c r="D369" t="s">
        <v>35</v>
      </c>
      <c r="E369" t="s">
        <v>26</v>
      </c>
      <c r="F369" t="s">
        <v>27</v>
      </c>
      <c r="G369" t="s">
        <v>37</v>
      </c>
      <c r="H369">
        <v>30</v>
      </c>
      <c r="I369" s="5">
        <v>43542</v>
      </c>
      <c r="J369" s="11">
        <v>54714</v>
      </c>
      <c r="K369" s="6">
        <v>0</v>
      </c>
      <c r="L369" t="s">
        <v>21</v>
      </c>
      <c r="M369" t="s">
        <v>89</v>
      </c>
      <c r="N369" s="5" t="s">
        <v>31</v>
      </c>
      <c r="O369">
        <f>TBL_Employees[[#This Row],[Bonus %]]*TBL_Employees[[#This Row],[Annual Salary]]</f>
        <v>0</v>
      </c>
      <c r="P369" t="str">
        <f>IF(TBL_Employees[[#This Row],[Age]]&gt;50,"Senior","Junior")</f>
        <v>Junior</v>
      </c>
      <c r="Q369" s="14" t="str">
        <f>IF(OR(D369="IT", J369&gt;100000), "YES", "NO")</f>
        <v>NO</v>
      </c>
      <c r="R369" s="14">
        <f>YEAR(TBL_Employees[[#This Row],[Hire Date]])</f>
        <v>2019</v>
      </c>
    </row>
    <row r="370" spans="1:18" x14ac:dyDescent="0.35">
      <c r="A370" t="s">
        <v>803</v>
      </c>
      <c r="B370" t="s">
        <v>804</v>
      </c>
      <c r="C370" t="s">
        <v>132</v>
      </c>
      <c r="D370" t="s">
        <v>17</v>
      </c>
      <c r="E370" t="s">
        <v>50</v>
      </c>
      <c r="F370" t="s">
        <v>19</v>
      </c>
      <c r="G370" t="s">
        <v>28</v>
      </c>
      <c r="H370">
        <v>45</v>
      </c>
      <c r="I370" s="5">
        <v>41511</v>
      </c>
      <c r="J370" s="11">
        <v>99169</v>
      </c>
      <c r="K370" s="6">
        <v>0</v>
      </c>
      <c r="L370" t="s">
        <v>29</v>
      </c>
      <c r="M370" t="s">
        <v>115</v>
      </c>
      <c r="N370" s="5" t="s">
        <v>31</v>
      </c>
      <c r="O370">
        <f>TBL_Employees[[#This Row],[Bonus %]]*TBL_Employees[[#This Row],[Annual Salary]]</f>
        <v>0</v>
      </c>
      <c r="P370" t="str">
        <f>IF(TBL_Employees[[#This Row],[Age]]&gt;50,"Senior","Junior")</f>
        <v>Junior</v>
      </c>
      <c r="Q370" s="14" t="str">
        <f>IF(OR(D370="IT", J370&gt;100000), "YES", "NO")</f>
        <v>YES</v>
      </c>
      <c r="R370" s="14">
        <f>YEAR(TBL_Employees[[#This Row],[Hire Date]])</f>
        <v>2013</v>
      </c>
    </row>
    <row r="371" spans="1:18" x14ac:dyDescent="0.35">
      <c r="A371" t="s">
        <v>805</v>
      </c>
      <c r="B371" t="s">
        <v>806</v>
      </c>
      <c r="C371" t="s">
        <v>16</v>
      </c>
      <c r="D371" t="s">
        <v>60</v>
      </c>
      <c r="E371" t="s">
        <v>18</v>
      </c>
      <c r="F371" t="s">
        <v>19</v>
      </c>
      <c r="G371" t="s">
        <v>28</v>
      </c>
      <c r="H371">
        <v>55</v>
      </c>
      <c r="I371" s="5">
        <v>38888</v>
      </c>
      <c r="J371" s="11">
        <v>142628</v>
      </c>
      <c r="K371" s="6">
        <v>0.12</v>
      </c>
      <c r="L371" t="s">
        <v>29</v>
      </c>
      <c r="M371" t="s">
        <v>30</v>
      </c>
      <c r="N371" s="5" t="s">
        <v>31</v>
      </c>
      <c r="O371">
        <f>TBL_Employees[[#This Row],[Bonus %]]*TBL_Employees[[#This Row],[Annual Salary]]</f>
        <v>17115.36</v>
      </c>
      <c r="P371" t="str">
        <f>IF(TBL_Employees[[#This Row],[Age]]&gt;50,"Senior","Junior")</f>
        <v>Senior</v>
      </c>
      <c r="Q371" s="14" t="str">
        <f>IF(OR(D371="IT", J371&gt;100000), "YES", "NO")</f>
        <v>YES</v>
      </c>
      <c r="R371" s="14">
        <f>YEAR(TBL_Employees[[#This Row],[Hire Date]])</f>
        <v>2006</v>
      </c>
    </row>
    <row r="372" spans="1:18" x14ac:dyDescent="0.35">
      <c r="A372" t="s">
        <v>807</v>
      </c>
      <c r="B372" t="s">
        <v>808</v>
      </c>
      <c r="C372" t="s">
        <v>44</v>
      </c>
      <c r="D372" t="s">
        <v>81</v>
      </c>
      <c r="E372" t="s">
        <v>26</v>
      </c>
      <c r="F372" t="s">
        <v>19</v>
      </c>
      <c r="G372" t="s">
        <v>86</v>
      </c>
      <c r="H372">
        <v>33</v>
      </c>
      <c r="I372" s="5">
        <v>41756</v>
      </c>
      <c r="J372" s="11">
        <v>75869</v>
      </c>
      <c r="K372" s="6">
        <v>0</v>
      </c>
      <c r="L372" t="s">
        <v>94</v>
      </c>
      <c r="M372" t="s">
        <v>219</v>
      </c>
      <c r="N372" s="5" t="s">
        <v>31</v>
      </c>
      <c r="O372">
        <f>TBL_Employees[[#This Row],[Bonus %]]*TBL_Employees[[#This Row],[Annual Salary]]</f>
        <v>0</v>
      </c>
      <c r="P372" t="str">
        <f>IF(TBL_Employees[[#This Row],[Age]]&gt;50,"Senior","Junior")</f>
        <v>Junior</v>
      </c>
      <c r="Q372" s="14" t="str">
        <f>IF(OR(D372="IT", J372&gt;100000), "YES", "NO")</f>
        <v>NO</v>
      </c>
      <c r="R372" s="14">
        <f>YEAR(TBL_Employees[[#This Row],[Hire Date]])</f>
        <v>2014</v>
      </c>
    </row>
    <row r="373" spans="1:18" x14ac:dyDescent="0.35">
      <c r="A373" t="s">
        <v>809</v>
      </c>
      <c r="B373" t="s">
        <v>810</v>
      </c>
      <c r="C373" t="s">
        <v>249</v>
      </c>
      <c r="D373" t="s">
        <v>17</v>
      </c>
      <c r="E373" t="s">
        <v>26</v>
      </c>
      <c r="F373" t="s">
        <v>19</v>
      </c>
      <c r="G373" t="s">
        <v>37</v>
      </c>
      <c r="H373">
        <v>65</v>
      </c>
      <c r="I373" s="5">
        <v>43234</v>
      </c>
      <c r="J373" s="11">
        <v>60985</v>
      </c>
      <c r="K373" s="6">
        <v>0</v>
      </c>
      <c r="L373" t="s">
        <v>21</v>
      </c>
      <c r="M373" t="s">
        <v>22</v>
      </c>
      <c r="N373" s="5" t="s">
        <v>31</v>
      </c>
      <c r="O373">
        <f>TBL_Employees[[#This Row],[Bonus %]]*TBL_Employees[[#This Row],[Annual Salary]]</f>
        <v>0</v>
      </c>
      <c r="P373" t="str">
        <f>IF(TBL_Employees[[#This Row],[Age]]&gt;50,"Senior","Junior")</f>
        <v>Senior</v>
      </c>
      <c r="Q373" s="14" t="str">
        <f>IF(OR(D373="IT", J373&gt;100000), "YES", "NO")</f>
        <v>YES</v>
      </c>
      <c r="R373" s="14">
        <f>YEAR(TBL_Employees[[#This Row],[Hire Date]])</f>
        <v>2018</v>
      </c>
    </row>
    <row r="374" spans="1:18" x14ac:dyDescent="0.35">
      <c r="A374" t="s">
        <v>811</v>
      </c>
      <c r="B374" t="s">
        <v>812</v>
      </c>
      <c r="C374" t="s">
        <v>16</v>
      </c>
      <c r="D374" t="s">
        <v>17</v>
      </c>
      <c r="E374" t="s">
        <v>18</v>
      </c>
      <c r="F374" t="s">
        <v>19</v>
      </c>
      <c r="G374" t="s">
        <v>28</v>
      </c>
      <c r="H374">
        <v>60</v>
      </c>
      <c r="I374" s="5">
        <v>40383</v>
      </c>
      <c r="J374" s="11">
        <v>126911</v>
      </c>
      <c r="K374" s="6">
        <v>0.1</v>
      </c>
      <c r="L374" t="s">
        <v>29</v>
      </c>
      <c r="M374" t="s">
        <v>75</v>
      </c>
      <c r="N374" s="5" t="s">
        <v>31</v>
      </c>
      <c r="O374">
        <f>TBL_Employees[[#This Row],[Bonus %]]*TBL_Employees[[#This Row],[Annual Salary]]</f>
        <v>12691.1</v>
      </c>
      <c r="P374" t="str">
        <f>IF(TBL_Employees[[#This Row],[Age]]&gt;50,"Senior","Junior")</f>
        <v>Senior</v>
      </c>
      <c r="Q374" s="14" t="str">
        <f>IF(OR(D374="IT", J374&gt;100000), "YES", "NO")</f>
        <v>YES</v>
      </c>
      <c r="R374" s="14">
        <f>YEAR(TBL_Employees[[#This Row],[Hire Date]])</f>
        <v>2010</v>
      </c>
    </row>
    <row r="375" spans="1:18" x14ac:dyDescent="0.35">
      <c r="A375" t="s">
        <v>813</v>
      </c>
      <c r="B375" t="s">
        <v>814</v>
      </c>
      <c r="C375" t="s">
        <v>80</v>
      </c>
      <c r="D375" t="s">
        <v>49</v>
      </c>
      <c r="E375" t="s">
        <v>18</v>
      </c>
      <c r="F375" t="s">
        <v>27</v>
      </c>
      <c r="G375" t="s">
        <v>28</v>
      </c>
      <c r="H375">
        <v>56</v>
      </c>
      <c r="I375" s="5">
        <v>38042</v>
      </c>
      <c r="J375" s="11">
        <v>216949</v>
      </c>
      <c r="K375" s="6">
        <v>0.32</v>
      </c>
      <c r="L375" t="s">
        <v>29</v>
      </c>
      <c r="M375" t="s">
        <v>75</v>
      </c>
      <c r="N375" s="5" t="s">
        <v>31</v>
      </c>
      <c r="O375">
        <f>TBL_Employees[[#This Row],[Bonus %]]*TBL_Employees[[#This Row],[Annual Salary]]</f>
        <v>69423.680000000008</v>
      </c>
      <c r="P375" t="str">
        <f>IF(TBL_Employees[[#This Row],[Age]]&gt;50,"Senior","Junior")</f>
        <v>Senior</v>
      </c>
      <c r="Q375" s="14" t="str">
        <f>IF(OR(D375="IT", J375&gt;100000), "YES", "NO")</f>
        <v>YES</v>
      </c>
      <c r="R375" s="14">
        <f>YEAR(TBL_Employees[[#This Row],[Hire Date]])</f>
        <v>2004</v>
      </c>
    </row>
    <row r="376" spans="1:18" x14ac:dyDescent="0.35">
      <c r="A376" t="s">
        <v>815</v>
      </c>
      <c r="B376" t="s">
        <v>816</v>
      </c>
      <c r="C376" t="s">
        <v>34</v>
      </c>
      <c r="D376" t="s">
        <v>70</v>
      </c>
      <c r="E376" t="s">
        <v>26</v>
      </c>
      <c r="F376" t="s">
        <v>27</v>
      </c>
      <c r="G376" t="s">
        <v>28</v>
      </c>
      <c r="H376">
        <v>53</v>
      </c>
      <c r="I376" s="5">
        <v>41204</v>
      </c>
      <c r="J376" s="11">
        <v>168510</v>
      </c>
      <c r="K376" s="6">
        <v>0.28999999999999998</v>
      </c>
      <c r="L376" t="s">
        <v>21</v>
      </c>
      <c r="M376" t="s">
        <v>22</v>
      </c>
      <c r="N376" s="5" t="s">
        <v>31</v>
      </c>
      <c r="O376">
        <f>TBL_Employees[[#This Row],[Bonus %]]*TBL_Employees[[#This Row],[Annual Salary]]</f>
        <v>48867.899999999994</v>
      </c>
      <c r="P376" t="str">
        <f>IF(TBL_Employees[[#This Row],[Age]]&gt;50,"Senior","Junior")</f>
        <v>Senior</v>
      </c>
      <c r="Q376" s="14" t="str">
        <f>IF(OR(D376="IT", J376&gt;100000), "YES", "NO")</f>
        <v>YES</v>
      </c>
      <c r="R376" s="14">
        <f>YEAR(TBL_Employees[[#This Row],[Hire Date]])</f>
        <v>2012</v>
      </c>
    </row>
    <row r="377" spans="1:18" x14ac:dyDescent="0.35">
      <c r="A377" t="s">
        <v>817</v>
      </c>
      <c r="B377" t="s">
        <v>818</v>
      </c>
      <c r="C377" t="s">
        <v>176</v>
      </c>
      <c r="D377" t="s">
        <v>70</v>
      </c>
      <c r="E377" t="s">
        <v>36</v>
      </c>
      <c r="F377" t="s">
        <v>19</v>
      </c>
      <c r="G377" t="s">
        <v>86</v>
      </c>
      <c r="H377">
        <v>36</v>
      </c>
      <c r="I377" s="5">
        <v>42443</v>
      </c>
      <c r="J377" s="11">
        <v>85870</v>
      </c>
      <c r="K377" s="6">
        <v>0</v>
      </c>
      <c r="L377" t="s">
        <v>94</v>
      </c>
      <c r="M377" t="s">
        <v>219</v>
      </c>
      <c r="N377" s="5" t="s">
        <v>31</v>
      </c>
      <c r="O377">
        <f>TBL_Employees[[#This Row],[Bonus %]]*TBL_Employees[[#This Row],[Annual Salary]]</f>
        <v>0</v>
      </c>
      <c r="P377" t="str">
        <f>IF(TBL_Employees[[#This Row],[Age]]&gt;50,"Senior","Junior")</f>
        <v>Junior</v>
      </c>
      <c r="Q377" s="14" t="str">
        <f>IF(OR(D377="IT", J377&gt;100000), "YES", "NO")</f>
        <v>NO</v>
      </c>
      <c r="R377" s="14">
        <f>YEAR(TBL_Employees[[#This Row],[Hire Date]])</f>
        <v>2016</v>
      </c>
    </row>
    <row r="378" spans="1:18" x14ac:dyDescent="0.35">
      <c r="A378" t="s">
        <v>819</v>
      </c>
      <c r="B378" t="s">
        <v>820</v>
      </c>
      <c r="C378" t="s">
        <v>44</v>
      </c>
      <c r="D378" t="s">
        <v>81</v>
      </c>
      <c r="E378" t="s">
        <v>50</v>
      </c>
      <c r="F378" t="s">
        <v>19</v>
      </c>
      <c r="G378" t="s">
        <v>28</v>
      </c>
      <c r="H378">
        <v>46</v>
      </c>
      <c r="I378" s="5">
        <v>37271</v>
      </c>
      <c r="J378" s="11">
        <v>86510</v>
      </c>
      <c r="K378" s="6">
        <v>0</v>
      </c>
      <c r="L378" t="s">
        <v>29</v>
      </c>
      <c r="M378" t="s">
        <v>115</v>
      </c>
      <c r="N378" s="5">
        <v>37623</v>
      </c>
      <c r="O378">
        <f>TBL_Employees[[#This Row],[Bonus %]]*TBL_Employees[[#This Row],[Annual Salary]]</f>
        <v>0</v>
      </c>
      <c r="P378" t="str">
        <f>IF(TBL_Employees[[#This Row],[Age]]&gt;50,"Senior","Junior")</f>
        <v>Junior</v>
      </c>
      <c r="Q378" s="14" t="str">
        <f>IF(OR(D378="IT", J378&gt;100000), "YES", "NO")</f>
        <v>NO</v>
      </c>
      <c r="R378" s="14">
        <f>YEAR(TBL_Employees[[#This Row],[Hire Date]])</f>
        <v>2002</v>
      </c>
    </row>
    <row r="379" spans="1:18" x14ac:dyDescent="0.35">
      <c r="A379" t="s">
        <v>821</v>
      </c>
      <c r="B379" t="s">
        <v>822</v>
      </c>
      <c r="C379" t="s">
        <v>53</v>
      </c>
      <c r="D379" t="s">
        <v>49</v>
      </c>
      <c r="E379" t="s">
        <v>36</v>
      </c>
      <c r="F379" t="s">
        <v>19</v>
      </c>
      <c r="G379" t="s">
        <v>86</v>
      </c>
      <c r="H379">
        <v>38</v>
      </c>
      <c r="I379" s="5">
        <v>42999</v>
      </c>
      <c r="J379" s="11">
        <v>119647</v>
      </c>
      <c r="K379" s="6">
        <v>0.09</v>
      </c>
      <c r="L379" t="s">
        <v>94</v>
      </c>
      <c r="M379" t="s">
        <v>219</v>
      </c>
      <c r="N379" s="5" t="s">
        <v>31</v>
      </c>
      <c r="O379">
        <f>TBL_Employees[[#This Row],[Bonus %]]*TBL_Employees[[#This Row],[Annual Salary]]</f>
        <v>10768.23</v>
      </c>
      <c r="P379" t="str">
        <f>IF(TBL_Employees[[#This Row],[Age]]&gt;50,"Senior","Junior")</f>
        <v>Junior</v>
      </c>
      <c r="Q379" s="14" t="str">
        <f>IF(OR(D379="IT", J379&gt;100000), "YES", "NO")</f>
        <v>YES</v>
      </c>
      <c r="R379" s="14">
        <f>YEAR(TBL_Employees[[#This Row],[Hire Date]])</f>
        <v>2017</v>
      </c>
    </row>
    <row r="380" spans="1:18" x14ac:dyDescent="0.35">
      <c r="A380" t="s">
        <v>823</v>
      </c>
      <c r="B380" t="s">
        <v>824</v>
      </c>
      <c r="C380" t="s">
        <v>132</v>
      </c>
      <c r="D380" t="s">
        <v>17</v>
      </c>
      <c r="E380" t="s">
        <v>18</v>
      </c>
      <c r="F380" t="s">
        <v>27</v>
      </c>
      <c r="G380" t="s">
        <v>37</v>
      </c>
      <c r="H380">
        <v>62</v>
      </c>
      <c r="I380" s="5">
        <v>36996</v>
      </c>
      <c r="J380" s="11">
        <v>80921</v>
      </c>
      <c r="K380" s="6">
        <v>0</v>
      </c>
      <c r="L380" t="s">
        <v>21</v>
      </c>
      <c r="M380" t="s">
        <v>89</v>
      </c>
      <c r="N380" s="5" t="s">
        <v>31</v>
      </c>
      <c r="O380">
        <f>TBL_Employees[[#This Row],[Bonus %]]*TBL_Employees[[#This Row],[Annual Salary]]</f>
        <v>0</v>
      </c>
      <c r="P380" t="str">
        <f>IF(TBL_Employees[[#This Row],[Age]]&gt;50,"Senior","Junior")</f>
        <v>Senior</v>
      </c>
      <c r="Q380" s="14" t="str">
        <f>IF(OR(D380="IT", J380&gt;100000), "YES", "NO")</f>
        <v>YES</v>
      </c>
      <c r="R380" s="14">
        <f>YEAR(TBL_Employees[[#This Row],[Hire Date]])</f>
        <v>2001</v>
      </c>
    </row>
    <row r="381" spans="1:18" x14ac:dyDescent="0.35">
      <c r="A381" t="s">
        <v>825</v>
      </c>
      <c r="B381" t="s">
        <v>826</v>
      </c>
      <c r="C381" t="s">
        <v>114</v>
      </c>
      <c r="D381" t="s">
        <v>70</v>
      </c>
      <c r="E381" t="s">
        <v>18</v>
      </c>
      <c r="F381" t="s">
        <v>19</v>
      </c>
      <c r="G381" t="s">
        <v>37</v>
      </c>
      <c r="H381">
        <v>61</v>
      </c>
      <c r="I381" s="5">
        <v>40193</v>
      </c>
      <c r="J381" s="11">
        <v>98110</v>
      </c>
      <c r="K381" s="6">
        <v>0.13</v>
      </c>
      <c r="L381" t="s">
        <v>21</v>
      </c>
      <c r="M381" t="s">
        <v>38</v>
      </c>
      <c r="N381" s="5" t="s">
        <v>31</v>
      </c>
      <c r="O381">
        <f>TBL_Employees[[#This Row],[Bonus %]]*TBL_Employees[[#This Row],[Annual Salary]]</f>
        <v>12754.300000000001</v>
      </c>
      <c r="P381" t="str">
        <f>IF(TBL_Employees[[#This Row],[Age]]&gt;50,"Senior","Junior")</f>
        <v>Senior</v>
      </c>
      <c r="Q381" s="14" t="str">
        <f>IF(OR(D381="IT", J381&gt;100000), "YES", "NO")</f>
        <v>NO</v>
      </c>
      <c r="R381" s="14">
        <f>YEAR(TBL_Employees[[#This Row],[Hire Date]])</f>
        <v>2010</v>
      </c>
    </row>
    <row r="382" spans="1:18" x14ac:dyDescent="0.35">
      <c r="A382" t="s">
        <v>827</v>
      </c>
      <c r="B382" t="s">
        <v>828</v>
      </c>
      <c r="C382" t="s">
        <v>249</v>
      </c>
      <c r="D382" t="s">
        <v>17</v>
      </c>
      <c r="E382" t="s">
        <v>36</v>
      </c>
      <c r="F382" t="s">
        <v>19</v>
      </c>
      <c r="G382" t="s">
        <v>37</v>
      </c>
      <c r="H382">
        <v>59</v>
      </c>
      <c r="I382" s="5">
        <v>43028</v>
      </c>
      <c r="J382" s="11">
        <v>86831</v>
      </c>
      <c r="K382" s="6">
        <v>0</v>
      </c>
      <c r="L382" t="s">
        <v>21</v>
      </c>
      <c r="M382" t="s">
        <v>45</v>
      </c>
      <c r="N382" s="5" t="s">
        <v>31</v>
      </c>
      <c r="O382">
        <f>TBL_Employees[[#This Row],[Bonus %]]*TBL_Employees[[#This Row],[Annual Salary]]</f>
        <v>0</v>
      </c>
      <c r="P382" t="str">
        <f>IF(TBL_Employees[[#This Row],[Age]]&gt;50,"Senior","Junior")</f>
        <v>Senior</v>
      </c>
      <c r="Q382" s="14" t="str">
        <f>IF(OR(D382="IT", J382&gt;100000), "YES", "NO")</f>
        <v>YES</v>
      </c>
      <c r="R382" s="14">
        <f>YEAR(TBL_Employees[[#This Row],[Hire Date]])</f>
        <v>2017</v>
      </c>
    </row>
    <row r="383" spans="1:18" x14ac:dyDescent="0.35">
      <c r="A383" t="s">
        <v>829</v>
      </c>
      <c r="B383" t="s">
        <v>830</v>
      </c>
      <c r="C383" t="s">
        <v>25</v>
      </c>
      <c r="D383" t="s">
        <v>17</v>
      </c>
      <c r="E383" t="s">
        <v>36</v>
      </c>
      <c r="F383" t="s">
        <v>19</v>
      </c>
      <c r="G383" t="s">
        <v>28</v>
      </c>
      <c r="H383">
        <v>49</v>
      </c>
      <c r="I383" s="5">
        <v>40431</v>
      </c>
      <c r="J383" s="11">
        <v>72826</v>
      </c>
      <c r="K383" s="6">
        <v>0</v>
      </c>
      <c r="L383" t="s">
        <v>29</v>
      </c>
      <c r="M383" t="s">
        <v>115</v>
      </c>
      <c r="N383" s="5" t="s">
        <v>31</v>
      </c>
      <c r="O383">
        <f>TBL_Employees[[#This Row],[Bonus %]]*TBL_Employees[[#This Row],[Annual Salary]]</f>
        <v>0</v>
      </c>
      <c r="P383" t="str">
        <f>IF(TBL_Employees[[#This Row],[Age]]&gt;50,"Senior","Junior")</f>
        <v>Junior</v>
      </c>
      <c r="Q383" s="14" t="str">
        <f>IF(OR(D383="IT", J383&gt;100000), "YES", "NO")</f>
        <v>YES</v>
      </c>
      <c r="R383" s="14">
        <f>YEAR(TBL_Employees[[#This Row],[Hire Date]])</f>
        <v>2010</v>
      </c>
    </row>
    <row r="384" spans="1:18" x14ac:dyDescent="0.35">
      <c r="A384" t="s">
        <v>831</v>
      </c>
      <c r="B384" t="s">
        <v>832</v>
      </c>
      <c r="C384" t="s">
        <v>34</v>
      </c>
      <c r="D384" t="s">
        <v>81</v>
      </c>
      <c r="E384" t="s">
        <v>26</v>
      </c>
      <c r="F384" t="s">
        <v>19</v>
      </c>
      <c r="G384" t="s">
        <v>28</v>
      </c>
      <c r="H384">
        <v>64</v>
      </c>
      <c r="I384" s="5">
        <v>40588</v>
      </c>
      <c r="J384" s="11">
        <v>171217</v>
      </c>
      <c r="K384" s="6">
        <v>0.19</v>
      </c>
      <c r="L384" t="s">
        <v>21</v>
      </c>
      <c r="M384" t="s">
        <v>22</v>
      </c>
      <c r="N384" s="5" t="s">
        <v>31</v>
      </c>
      <c r="O384">
        <f>TBL_Employees[[#This Row],[Bonus %]]*TBL_Employees[[#This Row],[Annual Salary]]</f>
        <v>32531.23</v>
      </c>
      <c r="P384" t="str">
        <f>IF(TBL_Employees[[#This Row],[Age]]&gt;50,"Senior","Junior")</f>
        <v>Senior</v>
      </c>
      <c r="Q384" s="14" t="str">
        <f>IF(OR(D384="IT", J384&gt;100000), "YES", "NO")</f>
        <v>YES</v>
      </c>
      <c r="R384" s="14">
        <f>YEAR(TBL_Employees[[#This Row],[Hire Date]])</f>
        <v>2011</v>
      </c>
    </row>
    <row r="385" spans="1:18" x14ac:dyDescent="0.35">
      <c r="A385" t="s">
        <v>833</v>
      </c>
      <c r="B385" t="s">
        <v>834</v>
      </c>
      <c r="C385" t="s">
        <v>53</v>
      </c>
      <c r="D385" t="s">
        <v>17</v>
      </c>
      <c r="E385" t="s">
        <v>18</v>
      </c>
      <c r="F385" t="s">
        <v>19</v>
      </c>
      <c r="G385" t="s">
        <v>37</v>
      </c>
      <c r="H385">
        <v>57</v>
      </c>
      <c r="I385" s="5">
        <v>43948</v>
      </c>
      <c r="J385" s="11">
        <v>103058</v>
      </c>
      <c r="K385" s="6">
        <v>7.0000000000000007E-2</v>
      </c>
      <c r="L385" t="s">
        <v>21</v>
      </c>
      <c r="M385" t="s">
        <v>89</v>
      </c>
      <c r="N385" s="5" t="s">
        <v>31</v>
      </c>
      <c r="O385">
        <f>TBL_Employees[[#This Row],[Bonus %]]*TBL_Employees[[#This Row],[Annual Salary]]</f>
        <v>7214.06</v>
      </c>
      <c r="P385" t="str">
        <f>IF(TBL_Employees[[#This Row],[Age]]&gt;50,"Senior","Junior")</f>
        <v>Senior</v>
      </c>
      <c r="Q385" s="14" t="str">
        <f>IF(OR(D385="IT", J385&gt;100000), "YES", "NO")</f>
        <v>YES</v>
      </c>
      <c r="R385" s="14">
        <f>YEAR(TBL_Employees[[#This Row],[Hire Date]])</f>
        <v>2020</v>
      </c>
    </row>
    <row r="386" spans="1:18" x14ac:dyDescent="0.35">
      <c r="A386" t="s">
        <v>835</v>
      </c>
      <c r="B386" t="s">
        <v>836</v>
      </c>
      <c r="C386" t="s">
        <v>53</v>
      </c>
      <c r="D386" t="s">
        <v>49</v>
      </c>
      <c r="E386" t="s">
        <v>36</v>
      </c>
      <c r="F386" t="s">
        <v>27</v>
      </c>
      <c r="G386" t="s">
        <v>28</v>
      </c>
      <c r="H386">
        <v>52</v>
      </c>
      <c r="I386" s="5">
        <v>41858</v>
      </c>
      <c r="J386" s="11">
        <v>117062</v>
      </c>
      <c r="K386" s="6">
        <v>7.0000000000000007E-2</v>
      </c>
      <c r="L386" t="s">
        <v>21</v>
      </c>
      <c r="M386" t="s">
        <v>45</v>
      </c>
      <c r="N386" s="5" t="s">
        <v>31</v>
      </c>
      <c r="O386">
        <f>TBL_Employees[[#This Row],[Bonus %]]*TBL_Employees[[#This Row],[Annual Salary]]</f>
        <v>8194.34</v>
      </c>
      <c r="P386" t="str">
        <f>IF(TBL_Employees[[#This Row],[Age]]&gt;50,"Senior","Junior")</f>
        <v>Senior</v>
      </c>
      <c r="Q386" s="14" t="str">
        <f>IF(OR(D386="IT", J386&gt;100000), "YES", "NO")</f>
        <v>YES</v>
      </c>
      <c r="R386" s="14">
        <f>YEAR(TBL_Employees[[#This Row],[Hire Date]])</f>
        <v>2014</v>
      </c>
    </row>
    <row r="387" spans="1:18" x14ac:dyDescent="0.35">
      <c r="A387" t="s">
        <v>837</v>
      </c>
      <c r="B387" t="s">
        <v>838</v>
      </c>
      <c r="C387" t="s">
        <v>16</v>
      </c>
      <c r="D387" t="s">
        <v>60</v>
      </c>
      <c r="E387" t="s">
        <v>36</v>
      </c>
      <c r="F387" t="s">
        <v>27</v>
      </c>
      <c r="G387" t="s">
        <v>86</v>
      </c>
      <c r="H387">
        <v>40</v>
      </c>
      <c r="I387" s="5">
        <v>43488</v>
      </c>
      <c r="J387" s="11">
        <v>159031</v>
      </c>
      <c r="K387" s="6">
        <v>0.1</v>
      </c>
      <c r="L387" t="s">
        <v>21</v>
      </c>
      <c r="M387" t="s">
        <v>57</v>
      </c>
      <c r="N387" s="5" t="s">
        <v>31</v>
      </c>
      <c r="O387">
        <f>TBL_Employees[[#This Row],[Bonus %]]*TBL_Employees[[#This Row],[Annual Salary]]</f>
        <v>15903.1</v>
      </c>
      <c r="P387" t="str">
        <f>IF(TBL_Employees[[#This Row],[Age]]&gt;50,"Senior","Junior")</f>
        <v>Junior</v>
      </c>
      <c r="Q387" s="14" t="str">
        <f>IF(OR(D387="IT", J387&gt;100000), "YES", "NO")</f>
        <v>YES</v>
      </c>
      <c r="R387" s="14">
        <f>YEAR(TBL_Employees[[#This Row],[Hire Date]])</f>
        <v>2019</v>
      </c>
    </row>
    <row r="388" spans="1:18" x14ac:dyDescent="0.35">
      <c r="A388" t="s">
        <v>839</v>
      </c>
      <c r="B388" t="s">
        <v>840</v>
      </c>
      <c r="C388" t="s">
        <v>16</v>
      </c>
      <c r="D388" t="s">
        <v>17</v>
      </c>
      <c r="E388" t="s">
        <v>18</v>
      </c>
      <c r="F388" t="s">
        <v>19</v>
      </c>
      <c r="G388" t="s">
        <v>86</v>
      </c>
      <c r="H388">
        <v>49</v>
      </c>
      <c r="I388" s="5">
        <v>38000</v>
      </c>
      <c r="J388" s="11">
        <v>125086</v>
      </c>
      <c r="K388" s="6">
        <v>0.1</v>
      </c>
      <c r="L388" t="s">
        <v>94</v>
      </c>
      <c r="M388" t="s">
        <v>219</v>
      </c>
      <c r="N388" s="5" t="s">
        <v>31</v>
      </c>
      <c r="O388">
        <f>TBL_Employees[[#This Row],[Bonus %]]*TBL_Employees[[#This Row],[Annual Salary]]</f>
        <v>12508.6</v>
      </c>
      <c r="P388" t="str">
        <f>IF(TBL_Employees[[#This Row],[Age]]&gt;50,"Senior","Junior")</f>
        <v>Junior</v>
      </c>
      <c r="Q388" s="14" t="str">
        <f>IF(OR(D388="IT", J388&gt;100000), "YES", "NO")</f>
        <v>YES</v>
      </c>
      <c r="R388" s="14">
        <f>YEAR(TBL_Employees[[#This Row],[Hire Date]])</f>
        <v>2004</v>
      </c>
    </row>
    <row r="389" spans="1:18" x14ac:dyDescent="0.35">
      <c r="A389" t="s">
        <v>841</v>
      </c>
      <c r="B389" t="s">
        <v>842</v>
      </c>
      <c r="C389" t="s">
        <v>300</v>
      </c>
      <c r="D389" t="s">
        <v>17</v>
      </c>
      <c r="E389" t="s">
        <v>36</v>
      </c>
      <c r="F389" t="s">
        <v>27</v>
      </c>
      <c r="G389" t="s">
        <v>37</v>
      </c>
      <c r="H389">
        <v>43</v>
      </c>
      <c r="I389" s="5">
        <v>42467</v>
      </c>
      <c r="J389" s="11">
        <v>67976</v>
      </c>
      <c r="K389" s="6">
        <v>0</v>
      </c>
      <c r="L389" t="s">
        <v>21</v>
      </c>
      <c r="M389" t="s">
        <v>22</v>
      </c>
      <c r="N389" s="5" t="s">
        <v>31</v>
      </c>
      <c r="O389">
        <f>TBL_Employees[[#This Row],[Bonus %]]*TBL_Employees[[#This Row],[Annual Salary]]</f>
        <v>0</v>
      </c>
      <c r="P389" t="str">
        <f>IF(TBL_Employees[[#This Row],[Age]]&gt;50,"Senior","Junior")</f>
        <v>Junior</v>
      </c>
      <c r="Q389" s="14" t="str">
        <f>IF(OR(D389="IT", J389&gt;100000), "YES", "NO")</f>
        <v>YES</v>
      </c>
      <c r="R389" s="14">
        <f>YEAR(TBL_Employees[[#This Row],[Hire Date]])</f>
        <v>2016</v>
      </c>
    </row>
    <row r="390" spans="1:18" x14ac:dyDescent="0.35">
      <c r="A390" t="s">
        <v>843</v>
      </c>
      <c r="B390" t="s">
        <v>844</v>
      </c>
      <c r="C390" t="s">
        <v>125</v>
      </c>
      <c r="D390" t="s">
        <v>35</v>
      </c>
      <c r="E390" t="s">
        <v>36</v>
      </c>
      <c r="F390" t="s">
        <v>27</v>
      </c>
      <c r="G390" t="s">
        <v>37</v>
      </c>
      <c r="H390">
        <v>31</v>
      </c>
      <c r="I390" s="5">
        <v>44308</v>
      </c>
      <c r="J390" s="11">
        <v>74215</v>
      </c>
      <c r="K390" s="6">
        <v>0</v>
      </c>
      <c r="L390" t="s">
        <v>21</v>
      </c>
      <c r="M390" t="s">
        <v>45</v>
      </c>
      <c r="N390" s="5" t="s">
        <v>31</v>
      </c>
      <c r="O390">
        <f>TBL_Employees[[#This Row],[Bonus %]]*TBL_Employees[[#This Row],[Annual Salary]]</f>
        <v>0</v>
      </c>
      <c r="P390" t="str">
        <f>IF(TBL_Employees[[#This Row],[Age]]&gt;50,"Senior","Junior")</f>
        <v>Junior</v>
      </c>
      <c r="Q390" s="14" t="str">
        <f>IF(OR(D390="IT", J390&gt;100000), "YES", "NO")</f>
        <v>NO</v>
      </c>
      <c r="R390" s="14">
        <f>YEAR(TBL_Employees[[#This Row],[Hire Date]])</f>
        <v>2021</v>
      </c>
    </row>
    <row r="391" spans="1:18" x14ac:dyDescent="0.35">
      <c r="A391" t="s">
        <v>845</v>
      </c>
      <c r="B391" t="s">
        <v>846</v>
      </c>
      <c r="C391" t="s">
        <v>34</v>
      </c>
      <c r="D391" t="s">
        <v>60</v>
      </c>
      <c r="E391" t="s">
        <v>26</v>
      </c>
      <c r="F391" t="s">
        <v>27</v>
      </c>
      <c r="G391" t="s">
        <v>28</v>
      </c>
      <c r="H391">
        <v>55</v>
      </c>
      <c r="I391" s="5">
        <v>40340</v>
      </c>
      <c r="J391" s="11">
        <v>187389</v>
      </c>
      <c r="K391" s="6">
        <v>0.25</v>
      </c>
      <c r="L391" t="s">
        <v>29</v>
      </c>
      <c r="M391" t="s">
        <v>135</v>
      </c>
      <c r="N391" s="5" t="s">
        <v>31</v>
      </c>
      <c r="O391">
        <f>TBL_Employees[[#This Row],[Bonus %]]*TBL_Employees[[#This Row],[Annual Salary]]</f>
        <v>46847.25</v>
      </c>
      <c r="P391" t="str">
        <f>IF(TBL_Employees[[#This Row],[Age]]&gt;50,"Senior","Junior")</f>
        <v>Senior</v>
      </c>
      <c r="Q391" s="14" t="str">
        <f>IF(OR(D391="IT", J391&gt;100000), "YES", "NO")</f>
        <v>YES</v>
      </c>
      <c r="R391" s="14">
        <f>YEAR(TBL_Employees[[#This Row],[Hire Date]])</f>
        <v>2010</v>
      </c>
    </row>
    <row r="392" spans="1:18" x14ac:dyDescent="0.35">
      <c r="A392" t="s">
        <v>648</v>
      </c>
      <c r="B392" t="s">
        <v>847</v>
      </c>
      <c r="C392" t="s">
        <v>16</v>
      </c>
      <c r="D392" t="s">
        <v>66</v>
      </c>
      <c r="E392" t="s">
        <v>36</v>
      </c>
      <c r="F392" t="s">
        <v>19</v>
      </c>
      <c r="G392" t="s">
        <v>37</v>
      </c>
      <c r="H392">
        <v>41</v>
      </c>
      <c r="I392" s="5">
        <v>39747</v>
      </c>
      <c r="J392" s="11">
        <v>131841</v>
      </c>
      <c r="K392" s="6">
        <v>0.13</v>
      </c>
      <c r="L392" t="s">
        <v>21</v>
      </c>
      <c r="M392" t="s">
        <v>89</v>
      </c>
      <c r="N392" s="5" t="s">
        <v>31</v>
      </c>
      <c r="O392">
        <f>TBL_Employees[[#This Row],[Bonus %]]*TBL_Employees[[#This Row],[Annual Salary]]</f>
        <v>17139.330000000002</v>
      </c>
      <c r="P392" t="str">
        <f>IF(TBL_Employees[[#This Row],[Age]]&gt;50,"Senior","Junior")</f>
        <v>Junior</v>
      </c>
      <c r="Q392" s="14" t="str">
        <f>IF(OR(D392="IT", J392&gt;100000), "YES", "NO")</f>
        <v>YES</v>
      </c>
      <c r="R392" s="14">
        <f>YEAR(TBL_Employees[[#This Row],[Hire Date]])</f>
        <v>2008</v>
      </c>
    </row>
    <row r="393" spans="1:18" x14ac:dyDescent="0.35">
      <c r="A393" t="s">
        <v>848</v>
      </c>
      <c r="B393" t="s">
        <v>849</v>
      </c>
      <c r="C393" t="s">
        <v>44</v>
      </c>
      <c r="D393" t="s">
        <v>60</v>
      </c>
      <c r="E393" t="s">
        <v>18</v>
      </c>
      <c r="F393" t="s">
        <v>27</v>
      </c>
      <c r="G393" t="s">
        <v>28</v>
      </c>
      <c r="H393">
        <v>34</v>
      </c>
      <c r="I393" s="5">
        <v>40750</v>
      </c>
      <c r="J393" s="11">
        <v>97231</v>
      </c>
      <c r="K393" s="6">
        <v>0</v>
      </c>
      <c r="L393" t="s">
        <v>29</v>
      </c>
      <c r="M393" t="s">
        <v>115</v>
      </c>
      <c r="N393" s="5" t="s">
        <v>31</v>
      </c>
      <c r="O393">
        <f>TBL_Employees[[#This Row],[Bonus %]]*TBL_Employees[[#This Row],[Annual Salary]]</f>
        <v>0</v>
      </c>
      <c r="P393" t="str">
        <f>IF(TBL_Employees[[#This Row],[Age]]&gt;50,"Senior","Junior")</f>
        <v>Junior</v>
      </c>
      <c r="Q393" s="14" t="str">
        <f>IF(OR(D393="IT", J393&gt;100000), "YES", "NO")</f>
        <v>NO</v>
      </c>
      <c r="R393" s="14">
        <f>YEAR(TBL_Employees[[#This Row],[Hire Date]])</f>
        <v>2011</v>
      </c>
    </row>
    <row r="394" spans="1:18" x14ac:dyDescent="0.35">
      <c r="A394" t="s">
        <v>850</v>
      </c>
      <c r="B394" t="s">
        <v>851</v>
      </c>
      <c r="C394" t="s">
        <v>16</v>
      </c>
      <c r="D394" t="s">
        <v>35</v>
      </c>
      <c r="E394" t="s">
        <v>50</v>
      </c>
      <c r="F394" t="s">
        <v>19</v>
      </c>
      <c r="G394" t="s">
        <v>28</v>
      </c>
      <c r="H394">
        <v>41</v>
      </c>
      <c r="I394" s="5">
        <v>38060</v>
      </c>
      <c r="J394" s="11">
        <v>155004</v>
      </c>
      <c r="K394" s="6">
        <v>0.12</v>
      </c>
      <c r="L394" t="s">
        <v>21</v>
      </c>
      <c r="M394" t="s">
        <v>61</v>
      </c>
      <c r="N394" s="5" t="s">
        <v>31</v>
      </c>
      <c r="O394">
        <f>TBL_Employees[[#This Row],[Bonus %]]*TBL_Employees[[#This Row],[Annual Salary]]</f>
        <v>18600.48</v>
      </c>
      <c r="P394" t="str">
        <f>IF(TBL_Employees[[#This Row],[Age]]&gt;50,"Senior","Junior")</f>
        <v>Junior</v>
      </c>
      <c r="Q394" s="14" t="str">
        <f>IF(OR(D394="IT", J394&gt;100000), "YES", "NO")</f>
        <v>YES</v>
      </c>
      <c r="R394" s="14">
        <f>YEAR(TBL_Employees[[#This Row],[Hire Date]])</f>
        <v>2004</v>
      </c>
    </row>
    <row r="395" spans="1:18" x14ac:dyDescent="0.35">
      <c r="A395" t="s">
        <v>852</v>
      </c>
      <c r="B395" t="s">
        <v>853</v>
      </c>
      <c r="C395" t="s">
        <v>331</v>
      </c>
      <c r="D395" t="s">
        <v>17</v>
      </c>
      <c r="E395" t="s">
        <v>26</v>
      </c>
      <c r="F395" t="s">
        <v>27</v>
      </c>
      <c r="G395" t="s">
        <v>28</v>
      </c>
      <c r="H395">
        <v>40</v>
      </c>
      <c r="I395" s="5">
        <v>39293</v>
      </c>
      <c r="J395" s="11">
        <v>41859</v>
      </c>
      <c r="K395" s="6">
        <v>0</v>
      </c>
      <c r="L395" t="s">
        <v>21</v>
      </c>
      <c r="M395" t="s">
        <v>22</v>
      </c>
      <c r="N395" s="5" t="s">
        <v>31</v>
      </c>
      <c r="O395">
        <f>TBL_Employees[[#This Row],[Bonus %]]*TBL_Employees[[#This Row],[Annual Salary]]</f>
        <v>0</v>
      </c>
      <c r="P395" t="str">
        <f>IF(TBL_Employees[[#This Row],[Age]]&gt;50,"Senior","Junior")</f>
        <v>Junior</v>
      </c>
      <c r="Q395" s="14" t="str">
        <f>IF(OR(D395="IT", J395&gt;100000), "YES", "NO")</f>
        <v>YES</v>
      </c>
      <c r="R395" s="14">
        <f>YEAR(TBL_Employees[[#This Row],[Hire Date]])</f>
        <v>2007</v>
      </c>
    </row>
    <row r="396" spans="1:18" x14ac:dyDescent="0.35">
      <c r="A396" t="s">
        <v>854</v>
      </c>
      <c r="B396" t="s">
        <v>855</v>
      </c>
      <c r="C396" t="s">
        <v>120</v>
      </c>
      <c r="D396" t="s">
        <v>17</v>
      </c>
      <c r="E396" t="s">
        <v>26</v>
      </c>
      <c r="F396" t="s">
        <v>27</v>
      </c>
      <c r="G396" t="s">
        <v>20</v>
      </c>
      <c r="H396">
        <v>42</v>
      </c>
      <c r="I396" s="5">
        <v>38984</v>
      </c>
      <c r="J396" s="11">
        <v>52733</v>
      </c>
      <c r="K396" s="6">
        <v>0</v>
      </c>
      <c r="L396" t="s">
        <v>21</v>
      </c>
      <c r="M396" t="s">
        <v>38</v>
      </c>
      <c r="N396" s="5" t="s">
        <v>31</v>
      </c>
      <c r="O396">
        <f>TBL_Employees[[#This Row],[Bonus %]]*TBL_Employees[[#This Row],[Annual Salary]]</f>
        <v>0</v>
      </c>
      <c r="P396" t="str">
        <f>IF(TBL_Employees[[#This Row],[Age]]&gt;50,"Senior","Junior")</f>
        <v>Junior</v>
      </c>
      <c r="Q396" s="14" t="str">
        <f>IF(OR(D396="IT", J396&gt;100000), "YES", "NO")</f>
        <v>YES</v>
      </c>
      <c r="R396" s="14">
        <f>YEAR(TBL_Employees[[#This Row],[Hire Date]])</f>
        <v>2006</v>
      </c>
    </row>
    <row r="397" spans="1:18" x14ac:dyDescent="0.35">
      <c r="A397" t="s">
        <v>856</v>
      </c>
      <c r="B397" t="s">
        <v>857</v>
      </c>
      <c r="C397" t="s">
        <v>80</v>
      </c>
      <c r="D397" t="s">
        <v>66</v>
      </c>
      <c r="E397" t="s">
        <v>50</v>
      </c>
      <c r="F397" t="s">
        <v>27</v>
      </c>
      <c r="G397" t="s">
        <v>28</v>
      </c>
      <c r="H397">
        <v>31</v>
      </c>
      <c r="I397" s="5">
        <v>42250</v>
      </c>
      <c r="J397" s="11">
        <v>250953</v>
      </c>
      <c r="K397" s="6">
        <v>0.34</v>
      </c>
      <c r="L397" t="s">
        <v>21</v>
      </c>
      <c r="M397" t="s">
        <v>89</v>
      </c>
      <c r="N397" s="5" t="s">
        <v>31</v>
      </c>
      <c r="O397">
        <f>TBL_Employees[[#This Row],[Bonus %]]*TBL_Employees[[#This Row],[Annual Salary]]</f>
        <v>85324.02</v>
      </c>
      <c r="P397" t="str">
        <f>IF(TBL_Employees[[#This Row],[Age]]&gt;50,"Senior","Junior")</f>
        <v>Junior</v>
      </c>
      <c r="Q397" s="14" t="str">
        <f>IF(OR(D397="IT", J397&gt;100000), "YES", "NO")</f>
        <v>YES</v>
      </c>
      <c r="R397" s="14">
        <f>YEAR(TBL_Employees[[#This Row],[Hire Date]])</f>
        <v>2015</v>
      </c>
    </row>
    <row r="398" spans="1:18" x14ac:dyDescent="0.35">
      <c r="A398" t="s">
        <v>858</v>
      </c>
      <c r="B398" t="s">
        <v>859</v>
      </c>
      <c r="C398" t="s">
        <v>34</v>
      </c>
      <c r="D398" t="s">
        <v>81</v>
      </c>
      <c r="E398" t="s">
        <v>18</v>
      </c>
      <c r="F398" t="s">
        <v>27</v>
      </c>
      <c r="G398" t="s">
        <v>28</v>
      </c>
      <c r="H398">
        <v>49</v>
      </c>
      <c r="I398" s="5">
        <v>36210</v>
      </c>
      <c r="J398" s="11">
        <v>191807</v>
      </c>
      <c r="K398" s="6">
        <v>0.21</v>
      </c>
      <c r="L398" t="s">
        <v>29</v>
      </c>
      <c r="M398" t="s">
        <v>30</v>
      </c>
      <c r="N398" s="5" t="s">
        <v>31</v>
      </c>
      <c r="O398">
        <f>TBL_Employees[[#This Row],[Bonus %]]*TBL_Employees[[#This Row],[Annual Salary]]</f>
        <v>40279.47</v>
      </c>
      <c r="P398" t="str">
        <f>IF(TBL_Employees[[#This Row],[Age]]&gt;50,"Senior","Junior")</f>
        <v>Junior</v>
      </c>
      <c r="Q398" s="14" t="str">
        <f>IF(OR(D398="IT", J398&gt;100000), "YES", "NO")</f>
        <v>YES</v>
      </c>
      <c r="R398" s="14">
        <f>YEAR(TBL_Employees[[#This Row],[Hire Date]])</f>
        <v>1999</v>
      </c>
    </row>
    <row r="399" spans="1:18" x14ac:dyDescent="0.35">
      <c r="A399" t="s">
        <v>860</v>
      </c>
      <c r="B399" t="s">
        <v>861</v>
      </c>
      <c r="C399" t="s">
        <v>25</v>
      </c>
      <c r="D399" t="s">
        <v>17</v>
      </c>
      <c r="E399" t="s">
        <v>36</v>
      </c>
      <c r="F399" t="s">
        <v>27</v>
      </c>
      <c r="G399" t="s">
        <v>28</v>
      </c>
      <c r="H399">
        <v>42</v>
      </c>
      <c r="I399" s="5">
        <v>41813</v>
      </c>
      <c r="J399" s="11">
        <v>64677</v>
      </c>
      <c r="K399" s="6">
        <v>0</v>
      </c>
      <c r="L399" t="s">
        <v>29</v>
      </c>
      <c r="M399" t="s">
        <v>30</v>
      </c>
      <c r="N399" s="5" t="s">
        <v>31</v>
      </c>
      <c r="O399">
        <f>TBL_Employees[[#This Row],[Bonus %]]*TBL_Employees[[#This Row],[Annual Salary]]</f>
        <v>0</v>
      </c>
      <c r="P399" t="str">
        <f>IF(TBL_Employees[[#This Row],[Age]]&gt;50,"Senior","Junior")</f>
        <v>Junior</v>
      </c>
      <c r="Q399" s="14" t="str">
        <f>IF(OR(D399="IT", J399&gt;100000), "YES", "NO")</f>
        <v>YES</v>
      </c>
      <c r="R399" s="14">
        <f>YEAR(TBL_Employees[[#This Row],[Hire Date]])</f>
        <v>2014</v>
      </c>
    </row>
    <row r="400" spans="1:18" x14ac:dyDescent="0.35">
      <c r="A400" t="s">
        <v>410</v>
      </c>
      <c r="B400" t="s">
        <v>862</v>
      </c>
      <c r="C400" t="s">
        <v>16</v>
      </c>
      <c r="D400" t="s">
        <v>17</v>
      </c>
      <c r="E400" t="s">
        <v>50</v>
      </c>
      <c r="F400" t="s">
        <v>27</v>
      </c>
      <c r="G400" t="s">
        <v>37</v>
      </c>
      <c r="H400">
        <v>46</v>
      </c>
      <c r="I400" s="5">
        <v>38244</v>
      </c>
      <c r="J400" s="11">
        <v>130274</v>
      </c>
      <c r="K400" s="6">
        <v>0.11</v>
      </c>
      <c r="L400" t="s">
        <v>21</v>
      </c>
      <c r="M400" t="s">
        <v>38</v>
      </c>
      <c r="N400" s="5" t="s">
        <v>31</v>
      </c>
      <c r="O400">
        <f>TBL_Employees[[#This Row],[Bonus %]]*TBL_Employees[[#This Row],[Annual Salary]]</f>
        <v>14330.14</v>
      </c>
      <c r="P400" t="str">
        <f>IF(TBL_Employees[[#This Row],[Age]]&gt;50,"Senior","Junior")</f>
        <v>Junior</v>
      </c>
      <c r="Q400" s="14" t="str">
        <f>IF(OR(D400="IT", J400&gt;100000), "YES", "NO")</f>
        <v>YES</v>
      </c>
      <c r="R400" s="14">
        <f>YEAR(TBL_Employees[[#This Row],[Hire Date]])</f>
        <v>2004</v>
      </c>
    </row>
    <row r="401" spans="1:18" x14ac:dyDescent="0.35">
      <c r="A401" t="s">
        <v>863</v>
      </c>
      <c r="B401" t="s">
        <v>864</v>
      </c>
      <c r="C401" t="s">
        <v>249</v>
      </c>
      <c r="D401" t="s">
        <v>17</v>
      </c>
      <c r="E401" t="s">
        <v>18</v>
      </c>
      <c r="F401" t="s">
        <v>27</v>
      </c>
      <c r="G401" t="s">
        <v>28</v>
      </c>
      <c r="H401">
        <v>37</v>
      </c>
      <c r="I401" s="5">
        <v>42922</v>
      </c>
      <c r="J401" s="11">
        <v>96331</v>
      </c>
      <c r="K401" s="6">
        <v>0</v>
      </c>
      <c r="L401" t="s">
        <v>29</v>
      </c>
      <c r="M401" t="s">
        <v>75</v>
      </c>
      <c r="N401" s="5" t="s">
        <v>31</v>
      </c>
      <c r="O401">
        <f>TBL_Employees[[#This Row],[Bonus %]]*TBL_Employees[[#This Row],[Annual Salary]]</f>
        <v>0</v>
      </c>
      <c r="P401" t="str">
        <f>IF(TBL_Employees[[#This Row],[Age]]&gt;50,"Senior","Junior")</f>
        <v>Junior</v>
      </c>
      <c r="Q401" s="14" t="str">
        <f>IF(OR(D401="IT", J401&gt;100000), "YES", "NO")</f>
        <v>YES</v>
      </c>
      <c r="R401" s="14">
        <f>YEAR(TBL_Employees[[#This Row],[Hire Date]])</f>
        <v>2017</v>
      </c>
    </row>
    <row r="402" spans="1:18" x14ac:dyDescent="0.35">
      <c r="A402" t="s">
        <v>865</v>
      </c>
      <c r="B402" t="s">
        <v>866</v>
      </c>
      <c r="C402" t="s">
        <v>16</v>
      </c>
      <c r="D402" t="s">
        <v>35</v>
      </c>
      <c r="E402" t="s">
        <v>18</v>
      </c>
      <c r="F402" t="s">
        <v>19</v>
      </c>
      <c r="G402" t="s">
        <v>37</v>
      </c>
      <c r="H402">
        <v>51</v>
      </c>
      <c r="I402" s="5">
        <v>38835</v>
      </c>
      <c r="J402" s="11">
        <v>150758</v>
      </c>
      <c r="K402" s="6">
        <v>0.13</v>
      </c>
      <c r="L402" t="s">
        <v>21</v>
      </c>
      <c r="M402" t="s">
        <v>38</v>
      </c>
      <c r="N402" s="5">
        <v>39310</v>
      </c>
      <c r="O402">
        <f>TBL_Employees[[#This Row],[Bonus %]]*TBL_Employees[[#This Row],[Annual Salary]]</f>
        <v>19598.54</v>
      </c>
      <c r="P402" t="str">
        <f>IF(TBL_Employees[[#This Row],[Age]]&gt;50,"Senior","Junior")</f>
        <v>Senior</v>
      </c>
      <c r="Q402" s="14" t="str">
        <f>IF(OR(D402="IT", J402&gt;100000), "YES", "NO")</f>
        <v>YES</v>
      </c>
      <c r="R402" s="14">
        <f>YEAR(TBL_Employees[[#This Row],[Hire Date]])</f>
        <v>2006</v>
      </c>
    </row>
    <row r="403" spans="1:18" x14ac:dyDescent="0.35">
      <c r="A403" t="s">
        <v>867</v>
      </c>
      <c r="B403" t="s">
        <v>868</v>
      </c>
      <c r="C403" t="s">
        <v>34</v>
      </c>
      <c r="D403" t="s">
        <v>70</v>
      </c>
      <c r="E403" t="s">
        <v>50</v>
      </c>
      <c r="F403" t="s">
        <v>27</v>
      </c>
      <c r="G403" t="s">
        <v>86</v>
      </c>
      <c r="H403">
        <v>46</v>
      </c>
      <c r="I403" s="5">
        <v>41839</v>
      </c>
      <c r="J403" s="11">
        <v>173629</v>
      </c>
      <c r="K403" s="6">
        <v>0.21</v>
      </c>
      <c r="L403" t="s">
        <v>94</v>
      </c>
      <c r="M403" t="s">
        <v>219</v>
      </c>
      <c r="N403" s="5" t="s">
        <v>31</v>
      </c>
      <c r="O403">
        <f>TBL_Employees[[#This Row],[Bonus %]]*TBL_Employees[[#This Row],[Annual Salary]]</f>
        <v>36462.089999999997</v>
      </c>
      <c r="P403" t="str">
        <f>IF(TBL_Employees[[#This Row],[Age]]&gt;50,"Senior","Junior")</f>
        <v>Junior</v>
      </c>
      <c r="Q403" s="14" t="str">
        <f>IF(OR(D403="IT", J403&gt;100000), "YES", "NO")</f>
        <v>YES</v>
      </c>
      <c r="R403" s="14">
        <f>YEAR(TBL_Employees[[#This Row],[Hire Date]])</f>
        <v>2014</v>
      </c>
    </row>
    <row r="404" spans="1:18" x14ac:dyDescent="0.35">
      <c r="A404" t="s">
        <v>869</v>
      </c>
      <c r="B404" t="s">
        <v>870</v>
      </c>
      <c r="C404" t="s">
        <v>373</v>
      </c>
      <c r="D404" t="s">
        <v>17</v>
      </c>
      <c r="E404" t="s">
        <v>50</v>
      </c>
      <c r="F404" t="s">
        <v>27</v>
      </c>
      <c r="G404" t="s">
        <v>20</v>
      </c>
      <c r="H404">
        <v>55</v>
      </c>
      <c r="I404" s="5">
        <v>35919</v>
      </c>
      <c r="J404" s="11">
        <v>62174</v>
      </c>
      <c r="K404" s="6">
        <v>0</v>
      </c>
      <c r="L404" t="s">
        <v>21</v>
      </c>
      <c r="M404" t="s">
        <v>38</v>
      </c>
      <c r="N404" s="5" t="s">
        <v>31</v>
      </c>
      <c r="O404">
        <f>TBL_Employees[[#This Row],[Bonus %]]*TBL_Employees[[#This Row],[Annual Salary]]</f>
        <v>0</v>
      </c>
      <c r="P404" t="str">
        <f>IF(TBL_Employees[[#This Row],[Age]]&gt;50,"Senior","Junior")</f>
        <v>Senior</v>
      </c>
      <c r="Q404" s="14" t="str">
        <f>IF(OR(D404="IT", J404&gt;100000), "YES", "NO")</f>
        <v>YES</v>
      </c>
      <c r="R404" s="14">
        <f>YEAR(TBL_Employees[[#This Row],[Hire Date]])</f>
        <v>1998</v>
      </c>
    </row>
    <row r="405" spans="1:18" x14ac:dyDescent="0.35">
      <c r="A405" t="s">
        <v>871</v>
      </c>
      <c r="B405" t="s">
        <v>872</v>
      </c>
      <c r="C405" t="s">
        <v>125</v>
      </c>
      <c r="D405" t="s">
        <v>60</v>
      </c>
      <c r="E405" t="s">
        <v>26</v>
      </c>
      <c r="F405" t="s">
        <v>27</v>
      </c>
      <c r="G405" t="s">
        <v>37</v>
      </c>
      <c r="H405">
        <v>43</v>
      </c>
      <c r="I405" s="5">
        <v>43028</v>
      </c>
      <c r="J405" s="11">
        <v>56555</v>
      </c>
      <c r="K405" s="6">
        <v>0</v>
      </c>
      <c r="L405" t="s">
        <v>21</v>
      </c>
      <c r="M405" t="s">
        <v>45</v>
      </c>
      <c r="N405" s="5" t="s">
        <v>31</v>
      </c>
      <c r="O405">
        <f>TBL_Employees[[#This Row],[Bonus %]]*TBL_Employees[[#This Row],[Annual Salary]]</f>
        <v>0</v>
      </c>
      <c r="P405" t="str">
        <f>IF(TBL_Employees[[#This Row],[Age]]&gt;50,"Senior","Junior")</f>
        <v>Junior</v>
      </c>
      <c r="Q405" s="14" t="str">
        <f>IF(OR(D405="IT", J405&gt;100000), "YES", "NO")</f>
        <v>NO</v>
      </c>
      <c r="R405" s="14">
        <f>YEAR(TBL_Employees[[#This Row],[Hire Date]])</f>
        <v>2017</v>
      </c>
    </row>
    <row r="406" spans="1:18" x14ac:dyDescent="0.35">
      <c r="A406" t="s">
        <v>873</v>
      </c>
      <c r="B406" t="s">
        <v>874</v>
      </c>
      <c r="C406" t="s">
        <v>125</v>
      </c>
      <c r="D406" t="s">
        <v>81</v>
      </c>
      <c r="E406" t="s">
        <v>26</v>
      </c>
      <c r="F406" t="s">
        <v>27</v>
      </c>
      <c r="G406" t="s">
        <v>37</v>
      </c>
      <c r="H406">
        <v>48</v>
      </c>
      <c r="I406" s="5">
        <v>38623</v>
      </c>
      <c r="J406" s="11">
        <v>74655</v>
      </c>
      <c r="K406" s="6">
        <v>0</v>
      </c>
      <c r="L406" t="s">
        <v>21</v>
      </c>
      <c r="M406" t="s">
        <v>61</v>
      </c>
      <c r="N406" s="5" t="s">
        <v>31</v>
      </c>
      <c r="O406">
        <f>TBL_Employees[[#This Row],[Bonus %]]*TBL_Employees[[#This Row],[Annual Salary]]</f>
        <v>0</v>
      </c>
      <c r="P406" t="str">
        <f>IF(TBL_Employees[[#This Row],[Age]]&gt;50,"Senior","Junior")</f>
        <v>Junior</v>
      </c>
      <c r="Q406" s="14" t="str">
        <f>IF(OR(D406="IT", J406&gt;100000), "YES", "NO")</f>
        <v>NO</v>
      </c>
      <c r="R406" s="14">
        <f>YEAR(TBL_Employees[[#This Row],[Hire Date]])</f>
        <v>2005</v>
      </c>
    </row>
    <row r="407" spans="1:18" x14ac:dyDescent="0.35">
      <c r="A407" t="s">
        <v>875</v>
      </c>
      <c r="B407" t="s">
        <v>876</v>
      </c>
      <c r="C407" t="s">
        <v>300</v>
      </c>
      <c r="D407" t="s">
        <v>17</v>
      </c>
      <c r="E407" t="s">
        <v>50</v>
      </c>
      <c r="F407" t="s">
        <v>27</v>
      </c>
      <c r="G407" t="s">
        <v>37</v>
      </c>
      <c r="H407">
        <v>48</v>
      </c>
      <c r="I407" s="5">
        <v>37844</v>
      </c>
      <c r="J407" s="11">
        <v>93017</v>
      </c>
      <c r="K407" s="6">
        <v>0</v>
      </c>
      <c r="L407" t="s">
        <v>21</v>
      </c>
      <c r="M407" t="s">
        <v>22</v>
      </c>
      <c r="N407" s="5" t="s">
        <v>31</v>
      </c>
      <c r="O407">
        <f>TBL_Employees[[#This Row],[Bonus %]]*TBL_Employees[[#This Row],[Annual Salary]]</f>
        <v>0</v>
      </c>
      <c r="P407" t="str">
        <f>IF(TBL_Employees[[#This Row],[Age]]&gt;50,"Senior","Junior")</f>
        <v>Junior</v>
      </c>
      <c r="Q407" s="14" t="str">
        <f>IF(OR(D407="IT", J407&gt;100000), "YES", "NO")</f>
        <v>YES</v>
      </c>
      <c r="R407" s="14">
        <f>YEAR(TBL_Employees[[#This Row],[Hire Date]])</f>
        <v>2003</v>
      </c>
    </row>
    <row r="408" spans="1:18" x14ac:dyDescent="0.35">
      <c r="A408" t="s">
        <v>877</v>
      </c>
      <c r="B408" t="s">
        <v>878</v>
      </c>
      <c r="C408" t="s">
        <v>44</v>
      </c>
      <c r="D408" t="s">
        <v>81</v>
      </c>
      <c r="E408" t="s">
        <v>26</v>
      </c>
      <c r="F408" t="s">
        <v>27</v>
      </c>
      <c r="G408" t="s">
        <v>28</v>
      </c>
      <c r="H408">
        <v>51</v>
      </c>
      <c r="I408" s="5">
        <v>41013</v>
      </c>
      <c r="J408" s="11">
        <v>82300</v>
      </c>
      <c r="K408" s="6">
        <v>0</v>
      </c>
      <c r="L408" t="s">
        <v>29</v>
      </c>
      <c r="M408" t="s">
        <v>135</v>
      </c>
      <c r="N408" s="5" t="s">
        <v>31</v>
      </c>
      <c r="O408">
        <f>TBL_Employees[[#This Row],[Bonus %]]*TBL_Employees[[#This Row],[Annual Salary]]</f>
        <v>0</v>
      </c>
      <c r="P408" t="str">
        <f>IF(TBL_Employees[[#This Row],[Age]]&gt;50,"Senior","Junior")</f>
        <v>Senior</v>
      </c>
      <c r="Q408" s="14" t="str">
        <f>IF(OR(D408="IT", J408&gt;100000), "YES", "NO")</f>
        <v>NO</v>
      </c>
      <c r="R408" s="14">
        <f>YEAR(TBL_Employees[[#This Row],[Hire Date]])</f>
        <v>2012</v>
      </c>
    </row>
    <row r="409" spans="1:18" x14ac:dyDescent="0.35">
      <c r="A409" t="s">
        <v>879</v>
      </c>
      <c r="B409" t="s">
        <v>880</v>
      </c>
      <c r="C409" t="s">
        <v>179</v>
      </c>
      <c r="D409" t="s">
        <v>70</v>
      </c>
      <c r="E409" t="s">
        <v>18</v>
      </c>
      <c r="F409" t="s">
        <v>19</v>
      </c>
      <c r="G409" t="s">
        <v>37</v>
      </c>
      <c r="H409">
        <v>46</v>
      </c>
      <c r="I409" s="5">
        <v>39471</v>
      </c>
      <c r="J409" s="11">
        <v>91621</v>
      </c>
      <c r="K409" s="6">
        <v>0</v>
      </c>
      <c r="L409" t="s">
        <v>21</v>
      </c>
      <c r="M409" t="s">
        <v>38</v>
      </c>
      <c r="N409" s="5" t="s">
        <v>31</v>
      </c>
      <c r="O409">
        <f>TBL_Employees[[#This Row],[Bonus %]]*TBL_Employees[[#This Row],[Annual Salary]]</f>
        <v>0</v>
      </c>
      <c r="P409" t="str">
        <f>IF(TBL_Employees[[#This Row],[Age]]&gt;50,"Senior","Junior")</f>
        <v>Junior</v>
      </c>
      <c r="Q409" s="14" t="str">
        <f>IF(OR(D409="IT", J409&gt;100000), "YES", "NO")</f>
        <v>NO</v>
      </c>
      <c r="R409" s="14">
        <f>YEAR(TBL_Employees[[#This Row],[Hire Date]])</f>
        <v>2008</v>
      </c>
    </row>
    <row r="410" spans="1:18" x14ac:dyDescent="0.35">
      <c r="A410" t="s">
        <v>881</v>
      </c>
      <c r="B410" t="s">
        <v>882</v>
      </c>
      <c r="C410" t="s">
        <v>44</v>
      </c>
      <c r="D410" t="s">
        <v>81</v>
      </c>
      <c r="E410" t="s">
        <v>18</v>
      </c>
      <c r="F410" t="s">
        <v>27</v>
      </c>
      <c r="G410" t="s">
        <v>86</v>
      </c>
      <c r="H410">
        <v>33</v>
      </c>
      <c r="I410" s="5">
        <v>41973</v>
      </c>
      <c r="J410" s="11">
        <v>91280</v>
      </c>
      <c r="K410" s="6">
        <v>0</v>
      </c>
      <c r="L410" t="s">
        <v>21</v>
      </c>
      <c r="M410" t="s">
        <v>57</v>
      </c>
      <c r="N410" s="5" t="s">
        <v>31</v>
      </c>
      <c r="O410">
        <f>TBL_Employees[[#This Row],[Bonus %]]*TBL_Employees[[#This Row],[Annual Salary]]</f>
        <v>0</v>
      </c>
      <c r="P410" t="str">
        <f>IF(TBL_Employees[[#This Row],[Age]]&gt;50,"Senior","Junior")</f>
        <v>Junior</v>
      </c>
      <c r="Q410" s="14" t="str">
        <f>IF(OR(D410="IT", J410&gt;100000), "YES", "NO")</f>
        <v>NO</v>
      </c>
      <c r="R410" s="14">
        <f>YEAR(TBL_Employees[[#This Row],[Hire Date]])</f>
        <v>2014</v>
      </c>
    </row>
    <row r="411" spans="1:18" x14ac:dyDescent="0.35">
      <c r="A411" t="s">
        <v>883</v>
      </c>
      <c r="B411" t="s">
        <v>884</v>
      </c>
      <c r="C411" t="s">
        <v>185</v>
      </c>
      <c r="D411" t="s">
        <v>66</v>
      </c>
      <c r="E411" t="s">
        <v>26</v>
      </c>
      <c r="F411" t="s">
        <v>19</v>
      </c>
      <c r="G411" t="s">
        <v>20</v>
      </c>
      <c r="H411">
        <v>42</v>
      </c>
      <c r="I411" s="5">
        <v>44092</v>
      </c>
      <c r="J411" s="11">
        <v>47071</v>
      </c>
      <c r="K411" s="6">
        <v>0</v>
      </c>
      <c r="L411" t="s">
        <v>21</v>
      </c>
      <c r="M411" t="s">
        <v>89</v>
      </c>
      <c r="N411" s="5" t="s">
        <v>31</v>
      </c>
      <c r="O411">
        <f>TBL_Employees[[#This Row],[Bonus %]]*TBL_Employees[[#This Row],[Annual Salary]]</f>
        <v>0</v>
      </c>
      <c r="P411" t="str">
        <f>IF(TBL_Employees[[#This Row],[Age]]&gt;50,"Senior","Junior")</f>
        <v>Junior</v>
      </c>
      <c r="Q411" s="14" t="str">
        <f>IF(OR(D411="IT", J411&gt;100000), "YES", "NO")</f>
        <v>NO</v>
      </c>
      <c r="R411" s="14">
        <f>YEAR(TBL_Employees[[#This Row],[Hire Date]])</f>
        <v>2020</v>
      </c>
    </row>
    <row r="412" spans="1:18" x14ac:dyDescent="0.35">
      <c r="A412" t="s">
        <v>885</v>
      </c>
      <c r="B412" t="s">
        <v>886</v>
      </c>
      <c r="C412" t="s">
        <v>443</v>
      </c>
      <c r="D412" t="s">
        <v>17</v>
      </c>
      <c r="E412" t="s">
        <v>26</v>
      </c>
      <c r="F412" t="s">
        <v>19</v>
      </c>
      <c r="G412" t="s">
        <v>37</v>
      </c>
      <c r="H412">
        <v>55</v>
      </c>
      <c r="I412" s="5">
        <v>40868</v>
      </c>
      <c r="J412" s="11">
        <v>81218</v>
      </c>
      <c r="K412" s="6">
        <v>0</v>
      </c>
      <c r="L412" t="s">
        <v>21</v>
      </c>
      <c r="M412" t="s">
        <v>38</v>
      </c>
      <c r="N412" s="5" t="s">
        <v>31</v>
      </c>
      <c r="O412">
        <f>TBL_Employees[[#This Row],[Bonus %]]*TBL_Employees[[#This Row],[Annual Salary]]</f>
        <v>0</v>
      </c>
      <c r="P412" t="str">
        <f>IF(TBL_Employees[[#This Row],[Age]]&gt;50,"Senior","Junior")</f>
        <v>Senior</v>
      </c>
      <c r="Q412" s="14" t="str">
        <f>IF(OR(D412="IT", J412&gt;100000), "YES", "NO")</f>
        <v>YES</v>
      </c>
      <c r="R412" s="14">
        <f>YEAR(TBL_Employees[[#This Row],[Hire Date]])</f>
        <v>2011</v>
      </c>
    </row>
    <row r="413" spans="1:18" x14ac:dyDescent="0.35">
      <c r="A413" t="s">
        <v>887</v>
      </c>
      <c r="B413" t="s">
        <v>888</v>
      </c>
      <c r="C413" t="s">
        <v>80</v>
      </c>
      <c r="D413" t="s">
        <v>70</v>
      </c>
      <c r="E413" t="s">
        <v>26</v>
      </c>
      <c r="F413" t="s">
        <v>19</v>
      </c>
      <c r="G413" t="s">
        <v>28</v>
      </c>
      <c r="H413">
        <v>50</v>
      </c>
      <c r="I413" s="5">
        <v>39734</v>
      </c>
      <c r="J413" s="11">
        <v>181801</v>
      </c>
      <c r="K413" s="6">
        <v>0.4</v>
      </c>
      <c r="L413" t="s">
        <v>29</v>
      </c>
      <c r="M413" t="s">
        <v>30</v>
      </c>
      <c r="N413" s="5">
        <v>43810</v>
      </c>
      <c r="O413">
        <f>TBL_Employees[[#This Row],[Bonus %]]*TBL_Employees[[#This Row],[Annual Salary]]</f>
        <v>72720.400000000009</v>
      </c>
      <c r="P413" t="str">
        <f>IF(TBL_Employees[[#This Row],[Age]]&gt;50,"Senior","Junior")</f>
        <v>Junior</v>
      </c>
      <c r="Q413" s="14" t="str">
        <f>IF(OR(D413="IT", J413&gt;100000), "YES", "NO")</f>
        <v>YES</v>
      </c>
      <c r="R413" s="14">
        <f>YEAR(TBL_Employees[[#This Row],[Hire Date]])</f>
        <v>2008</v>
      </c>
    </row>
    <row r="414" spans="1:18" x14ac:dyDescent="0.35">
      <c r="A414" t="s">
        <v>889</v>
      </c>
      <c r="B414" t="s">
        <v>890</v>
      </c>
      <c r="C414" t="s">
        <v>48</v>
      </c>
      <c r="D414" t="s">
        <v>49</v>
      </c>
      <c r="E414" t="s">
        <v>26</v>
      </c>
      <c r="F414" t="s">
        <v>19</v>
      </c>
      <c r="G414" t="s">
        <v>37</v>
      </c>
      <c r="H414">
        <v>26</v>
      </c>
      <c r="I414" s="5">
        <v>44521</v>
      </c>
      <c r="J414" s="11">
        <v>63137</v>
      </c>
      <c r="K414" s="6">
        <v>0</v>
      </c>
      <c r="L414" t="s">
        <v>21</v>
      </c>
      <c r="M414" t="s">
        <v>38</v>
      </c>
      <c r="N414" s="5" t="s">
        <v>31</v>
      </c>
      <c r="O414">
        <f>TBL_Employees[[#This Row],[Bonus %]]*TBL_Employees[[#This Row],[Annual Salary]]</f>
        <v>0</v>
      </c>
      <c r="P414" t="str">
        <f>IF(TBL_Employees[[#This Row],[Age]]&gt;50,"Senior","Junior")</f>
        <v>Junior</v>
      </c>
      <c r="Q414" s="14" t="str">
        <f>IF(OR(D414="IT", J414&gt;100000), "YES", "NO")</f>
        <v>NO</v>
      </c>
      <c r="R414" s="14">
        <f>YEAR(TBL_Employees[[#This Row],[Hire Date]])</f>
        <v>2021</v>
      </c>
    </row>
    <row r="415" spans="1:18" x14ac:dyDescent="0.35">
      <c r="A415" t="s">
        <v>891</v>
      </c>
      <c r="B415" t="s">
        <v>892</v>
      </c>
      <c r="C415" t="s">
        <v>80</v>
      </c>
      <c r="D415" t="s">
        <v>70</v>
      </c>
      <c r="E415" t="s">
        <v>26</v>
      </c>
      <c r="F415" t="s">
        <v>19</v>
      </c>
      <c r="G415" t="s">
        <v>28</v>
      </c>
      <c r="H415">
        <v>55</v>
      </c>
      <c r="I415" s="5">
        <v>43345</v>
      </c>
      <c r="J415" s="11">
        <v>221465</v>
      </c>
      <c r="K415" s="6">
        <v>0.34</v>
      </c>
      <c r="L415" t="s">
        <v>29</v>
      </c>
      <c r="M415" t="s">
        <v>135</v>
      </c>
      <c r="N415" s="5" t="s">
        <v>31</v>
      </c>
      <c r="O415">
        <f>TBL_Employees[[#This Row],[Bonus %]]*TBL_Employees[[#This Row],[Annual Salary]]</f>
        <v>75298.100000000006</v>
      </c>
      <c r="P415" t="str">
        <f>IF(TBL_Employees[[#This Row],[Age]]&gt;50,"Senior","Junior")</f>
        <v>Senior</v>
      </c>
      <c r="Q415" s="14" t="str">
        <f>IF(OR(D415="IT", J415&gt;100000), "YES", "NO")</f>
        <v>YES</v>
      </c>
      <c r="R415" s="14">
        <f>YEAR(TBL_Employees[[#This Row],[Hire Date]])</f>
        <v>2018</v>
      </c>
    </row>
    <row r="416" spans="1:18" x14ac:dyDescent="0.35">
      <c r="A416" t="s">
        <v>893</v>
      </c>
      <c r="B416" t="s">
        <v>894</v>
      </c>
      <c r="C416" t="s">
        <v>109</v>
      </c>
      <c r="D416" t="s">
        <v>70</v>
      </c>
      <c r="E416" t="s">
        <v>18</v>
      </c>
      <c r="F416" t="s">
        <v>19</v>
      </c>
      <c r="G416" t="s">
        <v>28</v>
      </c>
      <c r="H416">
        <v>50</v>
      </c>
      <c r="I416" s="5">
        <v>41404</v>
      </c>
      <c r="J416" s="11">
        <v>79388</v>
      </c>
      <c r="K416" s="6">
        <v>0</v>
      </c>
      <c r="L416" t="s">
        <v>21</v>
      </c>
      <c r="M416" t="s">
        <v>61</v>
      </c>
      <c r="N416" s="5">
        <v>43681</v>
      </c>
      <c r="O416">
        <f>TBL_Employees[[#This Row],[Bonus %]]*TBL_Employees[[#This Row],[Annual Salary]]</f>
        <v>0</v>
      </c>
      <c r="P416" t="str">
        <f>IF(TBL_Employees[[#This Row],[Age]]&gt;50,"Senior","Junior")</f>
        <v>Junior</v>
      </c>
      <c r="Q416" s="14" t="str">
        <f>IF(OR(D416="IT", J416&gt;100000), "YES", "NO")</f>
        <v>NO</v>
      </c>
      <c r="R416" s="14">
        <f>YEAR(TBL_Employees[[#This Row],[Hire Date]])</f>
        <v>2013</v>
      </c>
    </row>
    <row r="417" spans="1:18" x14ac:dyDescent="0.35">
      <c r="A417" t="s">
        <v>895</v>
      </c>
      <c r="B417" t="s">
        <v>896</v>
      </c>
      <c r="C417" t="s">
        <v>373</v>
      </c>
      <c r="D417" t="s">
        <v>17</v>
      </c>
      <c r="E417" t="s">
        <v>26</v>
      </c>
      <c r="F417" t="s">
        <v>19</v>
      </c>
      <c r="G417" t="s">
        <v>37</v>
      </c>
      <c r="H417">
        <v>28</v>
      </c>
      <c r="I417" s="5">
        <v>43122</v>
      </c>
      <c r="J417" s="11">
        <v>68176</v>
      </c>
      <c r="K417" s="6">
        <v>0</v>
      </c>
      <c r="L417" t="s">
        <v>21</v>
      </c>
      <c r="M417" t="s">
        <v>22</v>
      </c>
      <c r="N417" s="5" t="s">
        <v>31</v>
      </c>
      <c r="O417">
        <f>TBL_Employees[[#This Row],[Bonus %]]*TBL_Employees[[#This Row],[Annual Salary]]</f>
        <v>0</v>
      </c>
      <c r="P417" t="str">
        <f>IF(TBL_Employees[[#This Row],[Age]]&gt;50,"Senior","Junior")</f>
        <v>Junior</v>
      </c>
      <c r="Q417" s="14" t="str">
        <f>IF(OR(D417="IT", J417&gt;100000), "YES", "NO")</f>
        <v>YES</v>
      </c>
      <c r="R417" s="14">
        <f>YEAR(TBL_Employees[[#This Row],[Hire Date]])</f>
        <v>2018</v>
      </c>
    </row>
    <row r="418" spans="1:18" x14ac:dyDescent="0.35">
      <c r="A418" t="s">
        <v>889</v>
      </c>
      <c r="B418" t="s">
        <v>897</v>
      </c>
      <c r="C418" t="s">
        <v>16</v>
      </c>
      <c r="D418" t="s">
        <v>35</v>
      </c>
      <c r="E418" t="s">
        <v>18</v>
      </c>
      <c r="F418" t="s">
        <v>19</v>
      </c>
      <c r="G418" t="s">
        <v>86</v>
      </c>
      <c r="H418">
        <v>39</v>
      </c>
      <c r="I418" s="5">
        <v>43756</v>
      </c>
      <c r="J418" s="11">
        <v>122829</v>
      </c>
      <c r="K418" s="6">
        <v>0.11</v>
      </c>
      <c r="L418" t="s">
        <v>21</v>
      </c>
      <c r="M418" t="s">
        <v>38</v>
      </c>
      <c r="N418" s="5" t="s">
        <v>31</v>
      </c>
      <c r="O418">
        <f>TBL_Employees[[#This Row],[Bonus %]]*TBL_Employees[[#This Row],[Annual Salary]]</f>
        <v>13511.19</v>
      </c>
      <c r="P418" t="str">
        <f>IF(TBL_Employees[[#This Row],[Age]]&gt;50,"Senior","Junior")</f>
        <v>Junior</v>
      </c>
      <c r="Q418" s="14" t="str">
        <f>IF(OR(D418="IT", J418&gt;100000), "YES", "NO")</f>
        <v>YES</v>
      </c>
      <c r="R418" s="14">
        <f>YEAR(TBL_Employees[[#This Row],[Hire Date]])</f>
        <v>2019</v>
      </c>
    </row>
    <row r="419" spans="1:18" x14ac:dyDescent="0.35">
      <c r="A419" t="s">
        <v>898</v>
      </c>
      <c r="B419" t="s">
        <v>899</v>
      </c>
      <c r="C419" t="s">
        <v>16</v>
      </c>
      <c r="D419" t="s">
        <v>81</v>
      </c>
      <c r="E419" t="s">
        <v>36</v>
      </c>
      <c r="F419" t="s">
        <v>19</v>
      </c>
      <c r="G419" t="s">
        <v>28</v>
      </c>
      <c r="H419">
        <v>31</v>
      </c>
      <c r="I419" s="5">
        <v>43695</v>
      </c>
      <c r="J419" s="11">
        <v>126353</v>
      </c>
      <c r="K419" s="6">
        <v>0.12</v>
      </c>
      <c r="L419" t="s">
        <v>29</v>
      </c>
      <c r="M419" t="s">
        <v>75</v>
      </c>
      <c r="N419" s="5" t="s">
        <v>31</v>
      </c>
      <c r="O419">
        <f>TBL_Employees[[#This Row],[Bonus %]]*TBL_Employees[[#This Row],[Annual Salary]]</f>
        <v>15162.359999999999</v>
      </c>
      <c r="P419" t="str">
        <f>IF(TBL_Employees[[#This Row],[Age]]&gt;50,"Senior","Junior")</f>
        <v>Junior</v>
      </c>
      <c r="Q419" s="14" t="str">
        <f>IF(OR(D419="IT", J419&gt;100000), "YES", "NO")</f>
        <v>YES</v>
      </c>
      <c r="R419" s="14">
        <f>YEAR(TBL_Employees[[#This Row],[Hire Date]])</f>
        <v>2019</v>
      </c>
    </row>
    <row r="420" spans="1:18" x14ac:dyDescent="0.35">
      <c r="A420" t="s">
        <v>900</v>
      </c>
      <c r="B420" t="s">
        <v>901</v>
      </c>
      <c r="C420" t="s">
        <v>34</v>
      </c>
      <c r="D420" t="s">
        <v>60</v>
      </c>
      <c r="E420" t="s">
        <v>36</v>
      </c>
      <c r="F420" t="s">
        <v>19</v>
      </c>
      <c r="G420" t="s">
        <v>28</v>
      </c>
      <c r="H420">
        <v>55</v>
      </c>
      <c r="I420" s="5">
        <v>40468</v>
      </c>
      <c r="J420" s="11">
        <v>188727</v>
      </c>
      <c r="K420" s="6">
        <v>0.23</v>
      </c>
      <c r="L420" t="s">
        <v>29</v>
      </c>
      <c r="M420" t="s">
        <v>135</v>
      </c>
      <c r="N420" s="5" t="s">
        <v>31</v>
      </c>
      <c r="O420">
        <f>TBL_Employees[[#This Row],[Bonus %]]*TBL_Employees[[#This Row],[Annual Salary]]</f>
        <v>43407.21</v>
      </c>
      <c r="P420" t="str">
        <f>IF(TBL_Employees[[#This Row],[Age]]&gt;50,"Senior","Junior")</f>
        <v>Senior</v>
      </c>
      <c r="Q420" s="14" t="str">
        <f>IF(OR(D420="IT", J420&gt;100000), "YES", "NO")</f>
        <v>YES</v>
      </c>
      <c r="R420" s="14">
        <f>YEAR(TBL_Employees[[#This Row],[Hire Date]])</f>
        <v>2010</v>
      </c>
    </row>
    <row r="421" spans="1:18" x14ac:dyDescent="0.35">
      <c r="A421" t="s">
        <v>593</v>
      </c>
      <c r="B421" t="s">
        <v>902</v>
      </c>
      <c r="C421" t="s">
        <v>44</v>
      </c>
      <c r="D421" t="s">
        <v>49</v>
      </c>
      <c r="E421" t="s">
        <v>18</v>
      </c>
      <c r="F421" t="s">
        <v>27</v>
      </c>
      <c r="G421" t="s">
        <v>28</v>
      </c>
      <c r="H421">
        <v>52</v>
      </c>
      <c r="I421" s="5">
        <v>34383</v>
      </c>
      <c r="J421" s="11">
        <v>99624</v>
      </c>
      <c r="K421" s="6">
        <v>0</v>
      </c>
      <c r="L421" t="s">
        <v>21</v>
      </c>
      <c r="M421" t="s">
        <v>22</v>
      </c>
      <c r="N421" s="5" t="s">
        <v>31</v>
      </c>
      <c r="O421">
        <f>TBL_Employees[[#This Row],[Bonus %]]*TBL_Employees[[#This Row],[Annual Salary]]</f>
        <v>0</v>
      </c>
      <c r="P421" t="str">
        <f>IF(TBL_Employees[[#This Row],[Age]]&gt;50,"Senior","Junior")</f>
        <v>Senior</v>
      </c>
      <c r="Q421" s="14" t="str">
        <f>IF(OR(D421="IT", J421&gt;100000), "YES", "NO")</f>
        <v>NO</v>
      </c>
      <c r="R421" s="14">
        <f>YEAR(TBL_Employees[[#This Row],[Hire Date]])</f>
        <v>1994</v>
      </c>
    </row>
    <row r="422" spans="1:18" x14ac:dyDescent="0.35">
      <c r="A422" t="s">
        <v>903</v>
      </c>
      <c r="B422" t="s">
        <v>904</v>
      </c>
      <c r="C422" t="s">
        <v>53</v>
      </c>
      <c r="D422" t="s">
        <v>49</v>
      </c>
      <c r="E422" t="s">
        <v>36</v>
      </c>
      <c r="F422" t="s">
        <v>19</v>
      </c>
      <c r="G422" t="s">
        <v>28</v>
      </c>
      <c r="H422">
        <v>55</v>
      </c>
      <c r="I422" s="5">
        <v>41202</v>
      </c>
      <c r="J422" s="11">
        <v>108686</v>
      </c>
      <c r="K422" s="6">
        <v>0.06</v>
      </c>
      <c r="L422" t="s">
        <v>21</v>
      </c>
      <c r="M422" t="s">
        <v>89</v>
      </c>
      <c r="N422" s="5" t="s">
        <v>31</v>
      </c>
      <c r="O422">
        <f>TBL_Employees[[#This Row],[Bonus %]]*TBL_Employees[[#This Row],[Annual Salary]]</f>
        <v>6521.16</v>
      </c>
      <c r="P422" t="str">
        <f>IF(TBL_Employees[[#This Row],[Age]]&gt;50,"Senior","Junior")</f>
        <v>Senior</v>
      </c>
      <c r="Q422" s="14" t="str">
        <f>IF(OR(D422="IT", J422&gt;100000), "YES", "NO")</f>
        <v>YES</v>
      </c>
      <c r="R422" s="14">
        <f>YEAR(TBL_Employees[[#This Row],[Hire Date]])</f>
        <v>2012</v>
      </c>
    </row>
    <row r="423" spans="1:18" x14ac:dyDescent="0.35">
      <c r="A423" t="s">
        <v>905</v>
      </c>
      <c r="B423" t="s">
        <v>906</v>
      </c>
      <c r="C423" t="s">
        <v>56</v>
      </c>
      <c r="D423" t="s">
        <v>60</v>
      </c>
      <c r="E423" t="s">
        <v>50</v>
      </c>
      <c r="F423" t="s">
        <v>19</v>
      </c>
      <c r="G423" t="s">
        <v>86</v>
      </c>
      <c r="H423">
        <v>56</v>
      </c>
      <c r="I423" s="5">
        <v>34802</v>
      </c>
      <c r="J423" s="11">
        <v>50857</v>
      </c>
      <c r="K423" s="6">
        <v>0</v>
      </c>
      <c r="L423" t="s">
        <v>94</v>
      </c>
      <c r="M423" t="s">
        <v>95</v>
      </c>
      <c r="N423" s="5" t="s">
        <v>31</v>
      </c>
      <c r="O423">
        <f>TBL_Employees[[#This Row],[Bonus %]]*TBL_Employees[[#This Row],[Annual Salary]]</f>
        <v>0</v>
      </c>
      <c r="P423" t="str">
        <f>IF(TBL_Employees[[#This Row],[Age]]&gt;50,"Senior","Junior")</f>
        <v>Senior</v>
      </c>
      <c r="Q423" s="14" t="str">
        <f>IF(OR(D423="IT", J423&gt;100000), "YES", "NO")</f>
        <v>NO</v>
      </c>
      <c r="R423" s="14">
        <f>YEAR(TBL_Employees[[#This Row],[Hire Date]])</f>
        <v>1995</v>
      </c>
    </row>
    <row r="424" spans="1:18" x14ac:dyDescent="0.35">
      <c r="A424" t="s">
        <v>907</v>
      </c>
      <c r="B424" t="s">
        <v>908</v>
      </c>
      <c r="C424" t="s">
        <v>182</v>
      </c>
      <c r="D424" t="s">
        <v>70</v>
      </c>
      <c r="E424" t="s">
        <v>26</v>
      </c>
      <c r="F424" t="s">
        <v>27</v>
      </c>
      <c r="G424" t="s">
        <v>37</v>
      </c>
      <c r="H424">
        <v>47</v>
      </c>
      <c r="I424" s="5">
        <v>36893</v>
      </c>
      <c r="J424" s="11">
        <v>120628</v>
      </c>
      <c r="K424" s="6">
        <v>0</v>
      </c>
      <c r="L424" t="s">
        <v>21</v>
      </c>
      <c r="M424" t="s">
        <v>38</v>
      </c>
      <c r="N424" s="5" t="s">
        <v>31</v>
      </c>
      <c r="O424">
        <f>TBL_Employees[[#This Row],[Bonus %]]*TBL_Employees[[#This Row],[Annual Salary]]</f>
        <v>0</v>
      </c>
      <c r="P424" t="str">
        <f>IF(TBL_Employees[[#This Row],[Age]]&gt;50,"Senior","Junior")</f>
        <v>Junior</v>
      </c>
      <c r="Q424" s="14" t="str">
        <f>IF(OR(D424="IT", J424&gt;100000), "YES", "NO")</f>
        <v>YES</v>
      </c>
      <c r="R424" s="14">
        <f>YEAR(TBL_Employees[[#This Row],[Hire Date]])</f>
        <v>2001</v>
      </c>
    </row>
    <row r="425" spans="1:18" x14ac:dyDescent="0.35">
      <c r="A425" t="s">
        <v>909</v>
      </c>
      <c r="B425" t="s">
        <v>910</v>
      </c>
      <c r="C425" t="s">
        <v>34</v>
      </c>
      <c r="D425" t="s">
        <v>49</v>
      </c>
      <c r="E425" t="s">
        <v>36</v>
      </c>
      <c r="F425" t="s">
        <v>19</v>
      </c>
      <c r="G425" t="s">
        <v>37</v>
      </c>
      <c r="H425">
        <v>63</v>
      </c>
      <c r="I425" s="5">
        <v>43996</v>
      </c>
      <c r="J425" s="11">
        <v>181216</v>
      </c>
      <c r="K425" s="6">
        <v>0.27</v>
      </c>
      <c r="L425" t="s">
        <v>21</v>
      </c>
      <c r="M425" t="s">
        <v>89</v>
      </c>
      <c r="N425" s="5" t="s">
        <v>31</v>
      </c>
      <c r="O425">
        <f>TBL_Employees[[#This Row],[Bonus %]]*TBL_Employees[[#This Row],[Annual Salary]]</f>
        <v>48928.32</v>
      </c>
      <c r="P425" t="str">
        <f>IF(TBL_Employees[[#This Row],[Age]]&gt;50,"Senior","Junior")</f>
        <v>Senior</v>
      </c>
      <c r="Q425" s="14" t="str">
        <f>IF(OR(D425="IT", J425&gt;100000), "YES", "NO")</f>
        <v>YES</v>
      </c>
      <c r="R425" s="14">
        <f>YEAR(TBL_Employees[[#This Row],[Hire Date]])</f>
        <v>2020</v>
      </c>
    </row>
    <row r="426" spans="1:18" x14ac:dyDescent="0.35">
      <c r="A426" t="s">
        <v>911</v>
      </c>
      <c r="B426" t="s">
        <v>912</v>
      </c>
      <c r="C426" t="s">
        <v>56</v>
      </c>
      <c r="D426" t="s">
        <v>35</v>
      </c>
      <c r="E426" t="s">
        <v>50</v>
      </c>
      <c r="F426" t="s">
        <v>19</v>
      </c>
      <c r="G426" t="s">
        <v>37</v>
      </c>
      <c r="H426">
        <v>63</v>
      </c>
      <c r="I426" s="5">
        <v>40984</v>
      </c>
      <c r="J426" s="11">
        <v>46081</v>
      </c>
      <c r="K426" s="6">
        <v>0</v>
      </c>
      <c r="L426" t="s">
        <v>21</v>
      </c>
      <c r="M426" t="s">
        <v>38</v>
      </c>
      <c r="N426" s="5" t="s">
        <v>31</v>
      </c>
      <c r="O426">
        <f>TBL_Employees[[#This Row],[Bonus %]]*TBL_Employees[[#This Row],[Annual Salary]]</f>
        <v>0</v>
      </c>
      <c r="P426" t="str">
        <f>IF(TBL_Employees[[#This Row],[Age]]&gt;50,"Senior","Junior")</f>
        <v>Senior</v>
      </c>
      <c r="Q426" s="14" t="str">
        <f>IF(OR(D426="IT", J426&gt;100000), "YES", "NO")</f>
        <v>NO</v>
      </c>
      <c r="R426" s="14">
        <f>YEAR(TBL_Employees[[#This Row],[Hire Date]])</f>
        <v>2012</v>
      </c>
    </row>
    <row r="427" spans="1:18" x14ac:dyDescent="0.35">
      <c r="A427" t="s">
        <v>913</v>
      </c>
      <c r="B427" t="s">
        <v>914</v>
      </c>
      <c r="C427" t="s">
        <v>16</v>
      </c>
      <c r="D427" t="s">
        <v>60</v>
      </c>
      <c r="E427" t="s">
        <v>50</v>
      </c>
      <c r="F427" t="s">
        <v>19</v>
      </c>
      <c r="G427" t="s">
        <v>37</v>
      </c>
      <c r="H427">
        <v>55</v>
      </c>
      <c r="I427" s="5">
        <v>38135</v>
      </c>
      <c r="J427" s="11">
        <v>159885</v>
      </c>
      <c r="K427" s="6">
        <v>0.12</v>
      </c>
      <c r="L427" t="s">
        <v>21</v>
      </c>
      <c r="M427" t="s">
        <v>89</v>
      </c>
      <c r="N427" s="5" t="s">
        <v>31</v>
      </c>
      <c r="O427">
        <f>TBL_Employees[[#This Row],[Bonus %]]*TBL_Employees[[#This Row],[Annual Salary]]</f>
        <v>19186.2</v>
      </c>
      <c r="P427" t="str">
        <f>IF(TBL_Employees[[#This Row],[Age]]&gt;50,"Senior","Junior")</f>
        <v>Senior</v>
      </c>
      <c r="Q427" s="14" t="str">
        <f>IF(OR(D427="IT", J427&gt;100000), "YES", "NO")</f>
        <v>YES</v>
      </c>
      <c r="R427" s="14">
        <f>YEAR(TBL_Employees[[#This Row],[Hire Date]])</f>
        <v>2004</v>
      </c>
    </row>
    <row r="428" spans="1:18" x14ac:dyDescent="0.35">
      <c r="A428" t="s">
        <v>915</v>
      </c>
      <c r="B428" t="s">
        <v>916</v>
      </c>
      <c r="C428" t="s">
        <v>34</v>
      </c>
      <c r="D428" t="s">
        <v>49</v>
      </c>
      <c r="E428" t="s">
        <v>26</v>
      </c>
      <c r="F428" t="s">
        <v>19</v>
      </c>
      <c r="G428" t="s">
        <v>37</v>
      </c>
      <c r="H428">
        <v>55</v>
      </c>
      <c r="I428" s="5">
        <v>35001</v>
      </c>
      <c r="J428" s="11">
        <v>153271</v>
      </c>
      <c r="K428" s="6">
        <v>0.15</v>
      </c>
      <c r="L428" t="s">
        <v>21</v>
      </c>
      <c r="M428" t="s">
        <v>61</v>
      </c>
      <c r="N428" s="5" t="s">
        <v>31</v>
      </c>
      <c r="O428">
        <f>TBL_Employees[[#This Row],[Bonus %]]*TBL_Employees[[#This Row],[Annual Salary]]</f>
        <v>22990.649999999998</v>
      </c>
      <c r="P428" t="str">
        <f>IF(TBL_Employees[[#This Row],[Age]]&gt;50,"Senior","Junior")</f>
        <v>Senior</v>
      </c>
      <c r="Q428" s="14" t="str">
        <f>IF(OR(D428="IT", J428&gt;100000), "YES", "NO")</f>
        <v>YES</v>
      </c>
      <c r="R428" s="14">
        <f>YEAR(TBL_Employees[[#This Row],[Hire Date]])</f>
        <v>1995</v>
      </c>
    </row>
    <row r="429" spans="1:18" x14ac:dyDescent="0.35">
      <c r="A429" t="s">
        <v>917</v>
      </c>
      <c r="B429" t="s">
        <v>918</v>
      </c>
      <c r="C429" t="s">
        <v>53</v>
      </c>
      <c r="D429" t="s">
        <v>66</v>
      </c>
      <c r="E429" t="s">
        <v>26</v>
      </c>
      <c r="F429" t="s">
        <v>27</v>
      </c>
      <c r="G429" t="s">
        <v>28</v>
      </c>
      <c r="H429">
        <v>42</v>
      </c>
      <c r="I429" s="5">
        <v>40159</v>
      </c>
      <c r="J429" s="11">
        <v>114242</v>
      </c>
      <c r="K429" s="6">
        <v>0.08</v>
      </c>
      <c r="L429" t="s">
        <v>21</v>
      </c>
      <c r="M429" t="s">
        <v>45</v>
      </c>
      <c r="N429" s="5" t="s">
        <v>31</v>
      </c>
      <c r="O429">
        <f>TBL_Employees[[#This Row],[Bonus %]]*TBL_Employees[[#This Row],[Annual Salary]]</f>
        <v>9139.36</v>
      </c>
      <c r="P429" t="str">
        <f>IF(TBL_Employees[[#This Row],[Age]]&gt;50,"Senior","Junior")</f>
        <v>Junior</v>
      </c>
      <c r="Q429" s="14" t="str">
        <f>IF(OR(D429="IT", J429&gt;100000), "YES", "NO")</f>
        <v>YES</v>
      </c>
      <c r="R429" s="14">
        <f>YEAR(TBL_Employees[[#This Row],[Hire Date]])</f>
        <v>2009</v>
      </c>
    </row>
    <row r="430" spans="1:18" x14ac:dyDescent="0.35">
      <c r="A430" t="s">
        <v>919</v>
      </c>
      <c r="B430" t="s">
        <v>920</v>
      </c>
      <c r="C430" t="s">
        <v>120</v>
      </c>
      <c r="D430" t="s">
        <v>17</v>
      </c>
      <c r="E430" t="s">
        <v>36</v>
      </c>
      <c r="F430" t="s">
        <v>19</v>
      </c>
      <c r="G430" t="s">
        <v>28</v>
      </c>
      <c r="H430">
        <v>39</v>
      </c>
      <c r="I430" s="5">
        <v>44153</v>
      </c>
      <c r="J430" s="11">
        <v>48415</v>
      </c>
      <c r="K430" s="6">
        <v>0</v>
      </c>
      <c r="L430" t="s">
        <v>29</v>
      </c>
      <c r="M430" t="s">
        <v>75</v>
      </c>
      <c r="N430" s="5" t="s">
        <v>31</v>
      </c>
      <c r="O430">
        <f>TBL_Employees[[#This Row],[Bonus %]]*TBL_Employees[[#This Row],[Annual Salary]]</f>
        <v>0</v>
      </c>
      <c r="P430" t="str">
        <f>IF(TBL_Employees[[#This Row],[Age]]&gt;50,"Senior","Junior")</f>
        <v>Junior</v>
      </c>
      <c r="Q430" s="14" t="str">
        <f>IF(OR(D430="IT", J430&gt;100000), "YES", "NO")</f>
        <v>YES</v>
      </c>
      <c r="R430" s="14">
        <f>YEAR(TBL_Employees[[#This Row],[Hire Date]])</f>
        <v>2020</v>
      </c>
    </row>
    <row r="431" spans="1:18" x14ac:dyDescent="0.35">
      <c r="A431" t="s">
        <v>921</v>
      </c>
      <c r="B431" t="s">
        <v>922</v>
      </c>
      <c r="C431" t="s">
        <v>278</v>
      </c>
      <c r="D431" t="s">
        <v>70</v>
      </c>
      <c r="E431" t="s">
        <v>26</v>
      </c>
      <c r="F431" t="s">
        <v>27</v>
      </c>
      <c r="G431" t="s">
        <v>86</v>
      </c>
      <c r="H431">
        <v>35</v>
      </c>
      <c r="I431" s="5">
        <v>42878</v>
      </c>
      <c r="J431" s="11">
        <v>65566</v>
      </c>
      <c r="K431" s="6">
        <v>0</v>
      </c>
      <c r="L431" t="s">
        <v>21</v>
      </c>
      <c r="M431" t="s">
        <v>22</v>
      </c>
      <c r="N431" s="5" t="s">
        <v>31</v>
      </c>
      <c r="O431">
        <f>TBL_Employees[[#This Row],[Bonus %]]*TBL_Employees[[#This Row],[Annual Salary]]</f>
        <v>0</v>
      </c>
      <c r="P431" t="str">
        <f>IF(TBL_Employees[[#This Row],[Age]]&gt;50,"Senior","Junior")</f>
        <v>Junior</v>
      </c>
      <c r="Q431" s="14" t="str">
        <f>IF(OR(D431="IT", J431&gt;100000), "YES", "NO")</f>
        <v>NO</v>
      </c>
      <c r="R431" s="14">
        <f>YEAR(TBL_Employees[[#This Row],[Hire Date]])</f>
        <v>2017</v>
      </c>
    </row>
    <row r="432" spans="1:18" x14ac:dyDescent="0.35">
      <c r="A432" t="s">
        <v>923</v>
      </c>
      <c r="B432" t="s">
        <v>924</v>
      </c>
      <c r="C432" t="s">
        <v>16</v>
      </c>
      <c r="D432" t="s">
        <v>81</v>
      </c>
      <c r="E432" t="s">
        <v>18</v>
      </c>
      <c r="F432" t="s">
        <v>27</v>
      </c>
      <c r="G432" t="s">
        <v>28</v>
      </c>
      <c r="H432">
        <v>45</v>
      </c>
      <c r="I432" s="5">
        <v>37014</v>
      </c>
      <c r="J432" s="11">
        <v>147752</v>
      </c>
      <c r="K432" s="6">
        <v>0.12</v>
      </c>
      <c r="L432" t="s">
        <v>29</v>
      </c>
      <c r="M432" t="s">
        <v>75</v>
      </c>
      <c r="N432" s="5">
        <v>40903</v>
      </c>
      <c r="O432">
        <f>TBL_Employees[[#This Row],[Bonus %]]*TBL_Employees[[#This Row],[Annual Salary]]</f>
        <v>17730.239999999998</v>
      </c>
      <c r="P432" t="str">
        <f>IF(TBL_Employees[[#This Row],[Age]]&gt;50,"Senior","Junior")</f>
        <v>Junior</v>
      </c>
      <c r="Q432" s="14" t="str">
        <f>IF(OR(D432="IT", J432&gt;100000), "YES", "NO")</f>
        <v>YES</v>
      </c>
      <c r="R432" s="14">
        <f>YEAR(TBL_Employees[[#This Row],[Hire Date]])</f>
        <v>2001</v>
      </c>
    </row>
    <row r="433" spans="1:18" x14ac:dyDescent="0.35">
      <c r="A433" t="s">
        <v>925</v>
      </c>
      <c r="B433" t="s">
        <v>926</v>
      </c>
      <c r="C433" t="s">
        <v>16</v>
      </c>
      <c r="D433" t="s">
        <v>81</v>
      </c>
      <c r="E433" t="s">
        <v>26</v>
      </c>
      <c r="F433" t="s">
        <v>19</v>
      </c>
      <c r="G433" t="s">
        <v>28</v>
      </c>
      <c r="H433">
        <v>25</v>
      </c>
      <c r="I433" s="5">
        <v>44453</v>
      </c>
      <c r="J433" s="11">
        <v>136810</v>
      </c>
      <c r="K433" s="6">
        <v>0.14000000000000001</v>
      </c>
      <c r="L433" t="s">
        <v>29</v>
      </c>
      <c r="M433" t="s">
        <v>30</v>
      </c>
      <c r="N433" s="5" t="s">
        <v>31</v>
      </c>
      <c r="O433">
        <f>TBL_Employees[[#This Row],[Bonus %]]*TBL_Employees[[#This Row],[Annual Salary]]</f>
        <v>19153.400000000001</v>
      </c>
      <c r="P433" t="str">
        <f>IF(TBL_Employees[[#This Row],[Age]]&gt;50,"Senior","Junior")</f>
        <v>Junior</v>
      </c>
      <c r="Q433" s="14" t="str">
        <f>IF(OR(D433="IT", J433&gt;100000), "YES", "NO")</f>
        <v>YES</v>
      </c>
      <c r="R433" s="14">
        <f>YEAR(TBL_Employees[[#This Row],[Hire Date]])</f>
        <v>2021</v>
      </c>
    </row>
    <row r="434" spans="1:18" x14ac:dyDescent="0.35">
      <c r="A434" t="s">
        <v>927</v>
      </c>
      <c r="B434" t="s">
        <v>928</v>
      </c>
      <c r="C434" t="s">
        <v>56</v>
      </c>
      <c r="D434" t="s">
        <v>49</v>
      </c>
      <c r="E434" t="s">
        <v>50</v>
      </c>
      <c r="F434" t="s">
        <v>27</v>
      </c>
      <c r="G434" t="s">
        <v>37</v>
      </c>
      <c r="H434">
        <v>47</v>
      </c>
      <c r="I434" s="5">
        <v>41333</v>
      </c>
      <c r="J434" s="11">
        <v>54635</v>
      </c>
      <c r="K434" s="6">
        <v>0</v>
      </c>
      <c r="L434" t="s">
        <v>21</v>
      </c>
      <c r="M434" t="s">
        <v>38</v>
      </c>
      <c r="N434" s="5" t="s">
        <v>31</v>
      </c>
      <c r="O434">
        <f>TBL_Employees[[#This Row],[Bonus %]]*TBL_Employees[[#This Row],[Annual Salary]]</f>
        <v>0</v>
      </c>
      <c r="P434" t="str">
        <f>IF(TBL_Employees[[#This Row],[Age]]&gt;50,"Senior","Junior")</f>
        <v>Junior</v>
      </c>
      <c r="Q434" s="14" t="str">
        <f>IF(OR(D434="IT", J434&gt;100000), "YES", "NO")</f>
        <v>NO</v>
      </c>
      <c r="R434" s="14">
        <f>YEAR(TBL_Employees[[#This Row],[Hire Date]])</f>
        <v>2013</v>
      </c>
    </row>
    <row r="435" spans="1:18" x14ac:dyDescent="0.35">
      <c r="A435" t="s">
        <v>929</v>
      </c>
      <c r="B435" t="s">
        <v>930</v>
      </c>
      <c r="C435" t="s">
        <v>208</v>
      </c>
      <c r="D435" t="s">
        <v>17</v>
      </c>
      <c r="E435" t="s">
        <v>50</v>
      </c>
      <c r="F435" t="s">
        <v>19</v>
      </c>
      <c r="G435" t="s">
        <v>37</v>
      </c>
      <c r="H435">
        <v>42</v>
      </c>
      <c r="I435" s="5">
        <v>43866</v>
      </c>
      <c r="J435" s="11">
        <v>96636</v>
      </c>
      <c r="K435" s="6">
        <v>0</v>
      </c>
      <c r="L435" t="s">
        <v>21</v>
      </c>
      <c r="M435" t="s">
        <v>89</v>
      </c>
      <c r="N435" s="5" t="s">
        <v>31</v>
      </c>
      <c r="O435">
        <f>TBL_Employees[[#This Row],[Bonus %]]*TBL_Employees[[#This Row],[Annual Salary]]</f>
        <v>0</v>
      </c>
      <c r="P435" t="str">
        <f>IF(TBL_Employees[[#This Row],[Age]]&gt;50,"Senior","Junior")</f>
        <v>Junior</v>
      </c>
      <c r="Q435" s="14" t="str">
        <f>IF(OR(D435="IT", J435&gt;100000), "YES", "NO")</f>
        <v>YES</v>
      </c>
      <c r="R435" s="14">
        <f>YEAR(TBL_Employees[[#This Row],[Hire Date]])</f>
        <v>2020</v>
      </c>
    </row>
    <row r="436" spans="1:18" x14ac:dyDescent="0.35">
      <c r="A436" t="s">
        <v>931</v>
      </c>
      <c r="B436" t="s">
        <v>932</v>
      </c>
      <c r="C436" t="s">
        <v>300</v>
      </c>
      <c r="D436" t="s">
        <v>17</v>
      </c>
      <c r="E436" t="s">
        <v>26</v>
      </c>
      <c r="F436" t="s">
        <v>19</v>
      </c>
      <c r="G436" t="s">
        <v>20</v>
      </c>
      <c r="H436">
        <v>35</v>
      </c>
      <c r="I436" s="5">
        <v>41941</v>
      </c>
      <c r="J436" s="11">
        <v>91592</v>
      </c>
      <c r="K436" s="6">
        <v>0</v>
      </c>
      <c r="L436" t="s">
        <v>21</v>
      </c>
      <c r="M436" t="s">
        <v>38</v>
      </c>
      <c r="N436" s="5" t="s">
        <v>31</v>
      </c>
      <c r="O436">
        <f>TBL_Employees[[#This Row],[Bonus %]]*TBL_Employees[[#This Row],[Annual Salary]]</f>
        <v>0</v>
      </c>
      <c r="P436" t="str">
        <f>IF(TBL_Employees[[#This Row],[Age]]&gt;50,"Senior","Junior")</f>
        <v>Junior</v>
      </c>
      <c r="Q436" s="14" t="str">
        <f>IF(OR(D436="IT", J436&gt;100000), "YES", "NO")</f>
        <v>YES</v>
      </c>
      <c r="R436" s="14">
        <f>YEAR(TBL_Employees[[#This Row],[Hire Date]])</f>
        <v>2014</v>
      </c>
    </row>
    <row r="437" spans="1:18" x14ac:dyDescent="0.35">
      <c r="A437" t="s">
        <v>933</v>
      </c>
      <c r="B437" t="s">
        <v>934</v>
      </c>
      <c r="C437" t="s">
        <v>185</v>
      </c>
      <c r="D437" t="s">
        <v>66</v>
      </c>
      <c r="E437" t="s">
        <v>18</v>
      </c>
      <c r="F437" t="s">
        <v>19</v>
      </c>
      <c r="G437" t="s">
        <v>28</v>
      </c>
      <c r="H437">
        <v>45</v>
      </c>
      <c r="I437" s="5">
        <v>36755</v>
      </c>
      <c r="J437" s="11">
        <v>55563</v>
      </c>
      <c r="K437" s="6">
        <v>0</v>
      </c>
      <c r="L437" t="s">
        <v>29</v>
      </c>
      <c r="M437" t="s">
        <v>135</v>
      </c>
      <c r="N437" s="5" t="s">
        <v>31</v>
      </c>
      <c r="O437">
        <f>TBL_Employees[[#This Row],[Bonus %]]*TBL_Employees[[#This Row],[Annual Salary]]</f>
        <v>0</v>
      </c>
      <c r="P437" t="str">
        <f>IF(TBL_Employees[[#This Row],[Age]]&gt;50,"Senior","Junior")</f>
        <v>Junior</v>
      </c>
      <c r="Q437" s="14" t="str">
        <f>IF(OR(D437="IT", J437&gt;100000), "YES", "NO")</f>
        <v>NO</v>
      </c>
      <c r="R437" s="14">
        <f>YEAR(TBL_Employees[[#This Row],[Hire Date]])</f>
        <v>2000</v>
      </c>
    </row>
    <row r="438" spans="1:18" x14ac:dyDescent="0.35">
      <c r="A438" t="s">
        <v>935</v>
      </c>
      <c r="B438" t="s">
        <v>936</v>
      </c>
      <c r="C438" t="s">
        <v>34</v>
      </c>
      <c r="D438" t="s">
        <v>17</v>
      </c>
      <c r="E438" t="s">
        <v>18</v>
      </c>
      <c r="F438" t="s">
        <v>19</v>
      </c>
      <c r="G438" t="s">
        <v>28</v>
      </c>
      <c r="H438">
        <v>52</v>
      </c>
      <c r="I438" s="5">
        <v>35109</v>
      </c>
      <c r="J438" s="11">
        <v>159724</v>
      </c>
      <c r="K438" s="6">
        <v>0.23</v>
      </c>
      <c r="L438" t="s">
        <v>29</v>
      </c>
      <c r="M438" t="s">
        <v>115</v>
      </c>
      <c r="N438" s="5" t="s">
        <v>31</v>
      </c>
      <c r="O438">
        <f>TBL_Employees[[#This Row],[Bonus %]]*TBL_Employees[[#This Row],[Annual Salary]]</f>
        <v>36736.520000000004</v>
      </c>
      <c r="P438" t="str">
        <f>IF(TBL_Employees[[#This Row],[Age]]&gt;50,"Senior","Junior")</f>
        <v>Senior</v>
      </c>
      <c r="Q438" s="14" t="str">
        <f>IF(OR(D438="IT", J438&gt;100000), "YES", "NO")</f>
        <v>YES</v>
      </c>
      <c r="R438" s="14">
        <f>YEAR(TBL_Employees[[#This Row],[Hire Date]])</f>
        <v>1996</v>
      </c>
    </row>
    <row r="439" spans="1:18" x14ac:dyDescent="0.35">
      <c r="A439" t="s">
        <v>937</v>
      </c>
      <c r="B439" t="s">
        <v>938</v>
      </c>
      <c r="C439" t="s">
        <v>80</v>
      </c>
      <c r="D439" t="s">
        <v>81</v>
      </c>
      <c r="E439" t="s">
        <v>50</v>
      </c>
      <c r="F439" t="s">
        <v>27</v>
      </c>
      <c r="G439" t="s">
        <v>28</v>
      </c>
      <c r="H439">
        <v>57</v>
      </c>
      <c r="I439" s="5">
        <v>42951</v>
      </c>
      <c r="J439" s="11">
        <v>183190</v>
      </c>
      <c r="K439" s="6">
        <v>0.36</v>
      </c>
      <c r="L439" t="s">
        <v>21</v>
      </c>
      <c r="M439" t="s">
        <v>38</v>
      </c>
      <c r="N439" s="5" t="s">
        <v>31</v>
      </c>
      <c r="O439">
        <f>TBL_Employees[[#This Row],[Bonus %]]*TBL_Employees[[#This Row],[Annual Salary]]</f>
        <v>65948.399999999994</v>
      </c>
      <c r="P439" t="str">
        <f>IF(TBL_Employees[[#This Row],[Age]]&gt;50,"Senior","Junior")</f>
        <v>Senior</v>
      </c>
      <c r="Q439" s="14" t="str">
        <f>IF(OR(D439="IT", J439&gt;100000), "YES", "NO")</f>
        <v>YES</v>
      </c>
      <c r="R439" s="14">
        <f>YEAR(TBL_Employees[[#This Row],[Hire Date]])</f>
        <v>2017</v>
      </c>
    </row>
    <row r="440" spans="1:18" x14ac:dyDescent="0.35">
      <c r="A440" t="s">
        <v>939</v>
      </c>
      <c r="B440" t="s">
        <v>940</v>
      </c>
      <c r="C440" t="s">
        <v>56</v>
      </c>
      <c r="D440" t="s">
        <v>60</v>
      </c>
      <c r="E440" t="s">
        <v>36</v>
      </c>
      <c r="F440" t="s">
        <v>19</v>
      </c>
      <c r="G440" t="s">
        <v>37</v>
      </c>
      <c r="H440">
        <v>56</v>
      </c>
      <c r="I440" s="5">
        <v>43824</v>
      </c>
      <c r="J440" s="11">
        <v>54829</v>
      </c>
      <c r="K440" s="6">
        <v>0</v>
      </c>
      <c r="L440" t="s">
        <v>21</v>
      </c>
      <c r="M440" t="s">
        <v>45</v>
      </c>
      <c r="N440" s="5" t="s">
        <v>31</v>
      </c>
      <c r="O440">
        <f>TBL_Employees[[#This Row],[Bonus %]]*TBL_Employees[[#This Row],[Annual Salary]]</f>
        <v>0</v>
      </c>
      <c r="P440" t="str">
        <f>IF(TBL_Employees[[#This Row],[Age]]&gt;50,"Senior","Junior")</f>
        <v>Senior</v>
      </c>
      <c r="Q440" s="14" t="str">
        <f>IF(OR(D440="IT", J440&gt;100000), "YES", "NO")</f>
        <v>NO</v>
      </c>
      <c r="R440" s="14">
        <f>YEAR(TBL_Employees[[#This Row],[Hire Date]])</f>
        <v>2019</v>
      </c>
    </row>
    <row r="441" spans="1:18" x14ac:dyDescent="0.35">
      <c r="A441" t="s">
        <v>941</v>
      </c>
      <c r="B441" t="s">
        <v>942</v>
      </c>
      <c r="C441" t="s">
        <v>109</v>
      </c>
      <c r="D441" t="s">
        <v>70</v>
      </c>
      <c r="E441" t="s">
        <v>50</v>
      </c>
      <c r="F441" t="s">
        <v>27</v>
      </c>
      <c r="G441" t="s">
        <v>86</v>
      </c>
      <c r="H441">
        <v>46</v>
      </c>
      <c r="I441" s="5">
        <v>38464</v>
      </c>
      <c r="J441" s="11">
        <v>96639</v>
      </c>
      <c r="K441" s="6">
        <v>0</v>
      </c>
      <c r="L441" t="s">
        <v>94</v>
      </c>
      <c r="M441" t="s">
        <v>100</v>
      </c>
      <c r="N441" s="5" t="s">
        <v>31</v>
      </c>
      <c r="O441">
        <f>TBL_Employees[[#This Row],[Bonus %]]*TBL_Employees[[#This Row],[Annual Salary]]</f>
        <v>0</v>
      </c>
      <c r="P441" t="str">
        <f>IF(TBL_Employees[[#This Row],[Age]]&gt;50,"Senior","Junior")</f>
        <v>Junior</v>
      </c>
      <c r="Q441" s="14" t="str">
        <f>IF(OR(D441="IT", J441&gt;100000), "YES", "NO")</f>
        <v>NO</v>
      </c>
      <c r="R441" s="14">
        <f>YEAR(TBL_Employees[[#This Row],[Hire Date]])</f>
        <v>2005</v>
      </c>
    </row>
    <row r="442" spans="1:18" x14ac:dyDescent="0.35">
      <c r="A442" t="s">
        <v>943</v>
      </c>
      <c r="B442" t="s">
        <v>944</v>
      </c>
      <c r="C442" t="s">
        <v>53</v>
      </c>
      <c r="D442" t="s">
        <v>81</v>
      </c>
      <c r="E442" t="s">
        <v>36</v>
      </c>
      <c r="F442" t="s">
        <v>19</v>
      </c>
      <c r="G442" t="s">
        <v>28</v>
      </c>
      <c r="H442">
        <v>43</v>
      </c>
      <c r="I442" s="5">
        <v>38879</v>
      </c>
      <c r="J442" s="11">
        <v>117278</v>
      </c>
      <c r="K442" s="6">
        <v>0.09</v>
      </c>
      <c r="L442" t="s">
        <v>21</v>
      </c>
      <c r="M442" t="s">
        <v>57</v>
      </c>
      <c r="N442" s="5" t="s">
        <v>31</v>
      </c>
      <c r="O442">
        <f>TBL_Employees[[#This Row],[Bonus %]]*TBL_Employees[[#This Row],[Annual Salary]]</f>
        <v>10555.02</v>
      </c>
      <c r="P442" t="str">
        <f>IF(TBL_Employees[[#This Row],[Age]]&gt;50,"Senior","Junior")</f>
        <v>Junior</v>
      </c>
      <c r="Q442" s="14" t="str">
        <f>IF(OR(D442="IT", J442&gt;100000), "YES", "NO")</f>
        <v>YES</v>
      </c>
      <c r="R442" s="14">
        <f>YEAR(TBL_Employees[[#This Row],[Hire Date]])</f>
        <v>2006</v>
      </c>
    </row>
    <row r="443" spans="1:18" x14ac:dyDescent="0.35">
      <c r="A443" t="s">
        <v>945</v>
      </c>
      <c r="B443" t="s">
        <v>946</v>
      </c>
      <c r="C443" t="s">
        <v>41</v>
      </c>
      <c r="D443" t="s">
        <v>17</v>
      </c>
      <c r="E443" t="s">
        <v>36</v>
      </c>
      <c r="F443" t="s">
        <v>27</v>
      </c>
      <c r="G443" t="s">
        <v>28</v>
      </c>
      <c r="H443">
        <v>53</v>
      </c>
      <c r="I443" s="5">
        <v>39487</v>
      </c>
      <c r="J443" s="11">
        <v>84193</v>
      </c>
      <c r="K443" s="6">
        <v>0.09</v>
      </c>
      <c r="L443" t="s">
        <v>29</v>
      </c>
      <c r="M443" t="s">
        <v>75</v>
      </c>
      <c r="N443" s="5" t="s">
        <v>31</v>
      </c>
      <c r="O443">
        <f>TBL_Employees[[#This Row],[Bonus %]]*TBL_Employees[[#This Row],[Annual Salary]]</f>
        <v>7577.37</v>
      </c>
      <c r="P443" t="str">
        <f>IF(TBL_Employees[[#This Row],[Age]]&gt;50,"Senior","Junior")</f>
        <v>Senior</v>
      </c>
      <c r="Q443" s="14" t="str">
        <f>IF(OR(D443="IT", J443&gt;100000), "YES", "NO")</f>
        <v>YES</v>
      </c>
      <c r="R443" s="14">
        <f>YEAR(TBL_Employees[[#This Row],[Hire Date]])</f>
        <v>2008</v>
      </c>
    </row>
    <row r="444" spans="1:18" x14ac:dyDescent="0.35">
      <c r="A444" t="s">
        <v>947</v>
      </c>
      <c r="B444" t="s">
        <v>948</v>
      </c>
      <c r="C444" t="s">
        <v>486</v>
      </c>
      <c r="D444" t="s">
        <v>17</v>
      </c>
      <c r="E444" t="s">
        <v>26</v>
      </c>
      <c r="F444" t="s">
        <v>19</v>
      </c>
      <c r="G444" t="s">
        <v>37</v>
      </c>
      <c r="H444">
        <v>47</v>
      </c>
      <c r="I444" s="5">
        <v>43309</v>
      </c>
      <c r="J444" s="11">
        <v>87806</v>
      </c>
      <c r="K444" s="6">
        <v>0</v>
      </c>
      <c r="L444" t="s">
        <v>21</v>
      </c>
      <c r="M444" t="s">
        <v>22</v>
      </c>
      <c r="N444" s="5" t="s">
        <v>31</v>
      </c>
      <c r="O444">
        <f>TBL_Employees[[#This Row],[Bonus %]]*TBL_Employees[[#This Row],[Annual Salary]]</f>
        <v>0</v>
      </c>
      <c r="P444" t="str">
        <f>IF(TBL_Employees[[#This Row],[Age]]&gt;50,"Senior","Junior")</f>
        <v>Junior</v>
      </c>
      <c r="Q444" s="14" t="str">
        <f>IF(OR(D444="IT", J444&gt;100000), "YES", "NO")</f>
        <v>YES</v>
      </c>
      <c r="R444" s="14">
        <f>YEAR(TBL_Employees[[#This Row],[Hire Date]])</f>
        <v>2018</v>
      </c>
    </row>
    <row r="445" spans="1:18" x14ac:dyDescent="0.35">
      <c r="A445" t="s">
        <v>949</v>
      </c>
      <c r="B445" t="s">
        <v>950</v>
      </c>
      <c r="C445" t="s">
        <v>224</v>
      </c>
      <c r="D445" t="s">
        <v>70</v>
      </c>
      <c r="E445" t="s">
        <v>18</v>
      </c>
      <c r="F445" t="s">
        <v>27</v>
      </c>
      <c r="G445" t="s">
        <v>37</v>
      </c>
      <c r="H445">
        <v>62</v>
      </c>
      <c r="I445" s="5">
        <v>40820</v>
      </c>
      <c r="J445" s="11">
        <v>63959</v>
      </c>
      <c r="K445" s="6">
        <v>0</v>
      </c>
      <c r="L445" t="s">
        <v>21</v>
      </c>
      <c r="M445" t="s">
        <v>22</v>
      </c>
      <c r="N445" s="5" t="s">
        <v>31</v>
      </c>
      <c r="O445">
        <f>TBL_Employees[[#This Row],[Bonus %]]*TBL_Employees[[#This Row],[Annual Salary]]</f>
        <v>0</v>
      </c>
      <c r="P445" t="str">
        <f>IF(TBL_Employees[[#This Row],[Age]]&gt;50,"Senior","Junior")</f>
        <v>Senior</v>
      </c>
      <c r="Q445" s="14" t="str">
        <f>IF(OR(D445="IT", J445&gt;100000), "YES", "NO")</f>
        <v>NO</v>
      </c>
      <c r="R445" s="14">
        <f>YEAR(TBL_Employees[[#This Row],[Hire Date]])</f>
        <v>2011</v>
      </c>
    </row>
    <row r="446" spans="1:18" x14ac:dyDescent="0.35">
      <c r="A446" t="s">
        <v>951</v>
      </c>
      <c r="B446" t="s">
        <v>952</v>
      </c>
      <c r="C446" t="s">
        <v>80</v>
      </c>
      <c r="D446" t="s">
        <v>17</v>
      </c>
      <c r="E446" t="s">
        <v>18</v>
      </c>
      <c r="F446" t="s">
        <v>27</v>
      </c>
      <c r="G446" t="s">
        <v>28</v>
      </c>
      <c r="H446">
        <v>35</v>
      </c>
      <c r="I446" s="5">
        <v>42166</v>
      </c>
      <c r="J446" s="11">
        <v>234723</v>
      </c>
      <c r="K446" s="6">
        <v>0.36</v>
      </c>
      <c r="L446" t="s">
        <v>29</v>
      </c>
      <c r="M446" t="s">
        <v>75</v>
      </c>
      <c r="N446" s="5" t="s">
        <v>31</v>
      </c>
      <c r="O446">
        <f>TBL_Employees[[#This Row],[Bonus %]]*TBL_Employees[[#This Row],[Annual Salary]]</f>
        <v>84500.28</v>
      </c>
      <c r="P446" t="str">
        <f>IF(TBL_Employees[[#This Row],[Age]]&gt;50,"Senior","Junior")</f>
        <v>Junior</v>
      </c>
      <c r="Q446" s="14" t="str">
        <f>IF(OR(D446="IT", J446&gt;100000), "YES", "NO")</f>
        <v>YES</v>
      </c>
      <c r="R446" s="14">
        <f>YEAR(TBL_Employees[[#This Row],[Hire Date]])</f>
        <v>2015</v>
      </c>
    </row>
    <row r="447" spans="1:18" x14ac:dyDescent="0.35">
      <c r="A447" t="s">
        <v>953</v>
      </c>
      <c r="B447" t="s">
        <v>954</v>
      </c>
      <c r="C447" t="s">
        <v>56</v>
      </c>
      <c r="D447" t="s">
        <v>60</v>
      </c>
      <c r="E447" t="s">
        <v>50</v>
      </c>
      <c r="F447" t="s">
        <v>19</v>
      </c>
      <c r="G447" t="s">
        <v>28</v>
      </c>
      <c r="H447">
        <v>27</v>
      </c>
      <c r="I447" s="5">
        <v>43701</v>
      </c>
      <c r="J447" s="11">
        <v>50809</v>
      </c>
      <c r="K447" s="6">
        <v>0</v>
      </c>
      <c r="L447" t="s">
        <v>29</v>
      </c>
      <c r="M447" t="s">
        <v>30</v>
      </c>
      <c r="N447" s="5" t="s">
        <v>31</v>
      </c>
      <c r="O447">
        <f>TBL_Employees[[#This Row],[Bonus %]]*TBL_Employees[[#This Row],[Annual Salary]]</f>
        <v>0</v>
      </c>
      <c r="P447" t="str">
        <f>IF(TBL_Employees[[#This Row],[Age]]&gt;50,"Senior","Junior")</f>
        <v>Junior</v>
      </c>
      <c r="Q447" s="14" t="str">
        <f>IF(OR(D447="IT", J447&gt;100000), "YES", "NO")</f>
        <v>NO</v>
      </c>
      <c r="R447" s="14">
        <f>YEAR(TBL_Employees[[#This Row],[Hire Date]])</f>
        <v>2019</v>
      </c>
    </row>
    <row r="448" spans="1:18" x14ac:dyDescent="0.35">
      <c r="A448" t="s">
        <v>955</v>
      </c>
      <c r="B448" t="s">
        <v>956</v>
      </c>
      <c r="C448" t="s">
        <v>44</v>
      </c>
      <c r="D448" t="s">
        <v>35</v>
      </c>
      <c r="E448" t="s">
        <v>26</v>
      </c>
      <c r="F448" t="s">
        <v>27</v>
      </c>
      <c r="G448" t="s">
        <v>37</v>
      </c>
      <c r="H448">
        <v>55</v>
      </c>
      <c r="I448" s="5">
        <v>37456</v>
      </c>
      <c r="J448" s="11">
        <v>77396</v>
      </c>
      <c r="K448" s="6">
        <v>0</v>
      </c>
      <c r="L448" t="s">
        <v>21</v>
      </c>
      <c r="M448" t="s">
        <v>57</v>
      </c>
      <c r="N448" s="5" t="s">
        <v>31</v>
      </c>
      <c r="O448">
        <f>TBL_Employees[[#This Row],[Bonus %]]*TBL_Employees[[#This Row],[Annual Salary]]</f>
        <v>0</v>
      </c>
      <c r="P448" t="str">
        <f>IF(TBL_Employees[[#This Row],[Age]]&gt;50,"Senior","Junior")</f>
        <v>Senior</v>
      </c>
      <c r="Q448" s="14" t="str">
        <f>IF(OR(D448="IT", J448&gt;100000), "YES", "NO")</f>
        <v>NO</v>
      </c>
      <c r="R448" s="14">
        <f>YEAR(TBL_Employees[[#This Row],[Hire Date]])</f>
        <v>2002</v>
      </c>
    </row>
    <row r="449" spans="1:18" x14ac:dyDescent="0.35">
      <c r="A449" t="s">
        <v>957</v>
      </c>
      <c r="B449" t="s">
        <v>958</v>
      </c>
      <c r="C449" t="s">
        <v>44</v>
      </c>
      <c r="D449" t="s">
        <v>35</v>
      </c>
      <c r="E449" t="s">
        <v>36</v>
      </c>
      <c r="F449" t="s">
        <v>19</v>
      </c>
      <c r="G449" t="s">
        <v>28</v>
      </c>
      <c r="H449">
        <v>63</v>
      </c>
      <c r="I449" s="5">
        <v>36525</v>
      </c>
      <c r="J449" s="11">
        <v>89523</v>
      </c>
      <c r="K449" s="6">
        <v>0</v>
      </c>
      <c r="L449" t="s">
        <v>21</v>
      </c>
      <c r="M449" t="s">
        <v>45</v>
      </c>
      <c r="N449" s="5" t="s">
        <v>31</v>
      </c>
      <c r="O449">
        <f>TBL_Employees[[#This Row],[Bonus %]]*TBL_Employees[[#This Row],[Annual Salary]]</f>
        <v>0</v>
      </c>
      <c r="P449" t="str">
        <f>IF(TBL_Employees[[#This Row],[Age]]&gt;50,"Senior","Junior")</f>
        <v>Senior</v>
      </c>
      <c r="Q449" s="14" t="str">
        <f>IF(OR(D449="IT", J449&gt;100000), "YES", "NO")</f>
        <v>NO</v>
      </c>
      <c r="R449" s="14">
        <f>YEAR(TBL_Employees[[#This Row],[Hire Date]])</f>
        <v>1999</v>
      </c>
    </row>
    <row r="450" spans="1:18" x14ac:dyDescent="0.35">
      <c r="A450" t="s">
        <v>959</v>
      </c>
      <c r="B450" t="s">
        <v>960</v>
      </c>
      <c r="C450" t="s">
        <v>208</v>
      </c>
      <c r="D450" t="s">
        <v>17</v>
      </c>
      <c r="E450" t="s">
        <v>50</v>
      </c>
      <c r="F450" t="s">
        <v>19</v>
      </c>
      <c r="G450" t="s">
        <v>28</v>
      </c>
      <c r="H450">
        <v>53</v>
      </c>
      <c r="I450" s="5">
        <v>40744</v>
      </c>
      <c r="J450" s="11">
        <v>86173</v>
      </c>
      <c r="K450" s="6">
        <v>0</v>
      </c>
      <c r="L450" t="s">
        <v>29</v>
      </c>
      <c r="M450" t="s">
        <v>30</v>
      </c>
      <c r="N450" s="5" t="s">
        <v>31</v>
      </c>
      <c r="O450">
        <f>TBL_Employees[[#This Row],[Bonus %]]*TBL_Employees[[#This Row],[Annual Salary]]</f>
        <v>0</v>
      </c>
      <c r="P450" t="str">
        <f>IF(TBL_Employees[[#This Row],[Age]]&gt;50,"Senior","Junior")</f>
        <v>Senior</v>
      </c>
      <c r="Q450" s="14" t="str">
        <f>IF(OR(D450="IT", J450&gt;100000), "YES", "NO")</f>
        <v>YES</v>
      </c>
      <c r="R450" s="14">
        <f>YEAR(TBL_Employees[[#This Row],[Hire Date]])</f>
        <v>2011</v>
      </c>
    </row>
    <row r="451" spans="1:18" x14ac:dyDescent="0.35">
      <c r="A451" t="s">
        <v>961</v>
      </c>
      <c r="B451" t="s">
        <v>962</v>
      </c>
      <c r="C451" t="s">
        <v>80</v>
      </c>
      <c r="D451" t="s">
        <v>49</v>
      </c>
      <c r="E451" t="s">
        <v>26</v>
      </c>
      <c r="F451" t="s">
        <v>19</v>
      </c>
      <c r="G451" t="s">
        <v>20</v>
      </c>
      <c r="H451">
        <v>54</v>
      </c>
      <c r="I451" s="5">
        <v>36757</v>
      </c>
      <c r="J451" s="11">
        <v>222224</v>
      </c>
      <c r="K451" s="6">
        <v>0.38</v>
      </c>
      <c r="L451" t="s">
        <v>21</v>
      </c>
      <c r="M451" t="s">
        <v>89</v>
      </c>
      <c r="N451" s="5" t="s">
        <v>31</v>
      </c>
      <c r="O451">
        <f>TBL_Employees[[#This Row],[Bonus %]]*TBL_Employees[[#This Row],[Annual Salary]]</f>
        <v>84445.119999999995</v>
      </c>
      <c r="P451" t="str">
        <f>IF(TBL_Employees[[#This Row],[Age]]&gt;50,"Senior","Junior")</f>
        <v>Senior</v>
      </c>
      <c r="Q451" s="14" t="str">
        <f>IF(OR(D451="IT", J451&gt;100000), "YES", "NO")</f>
        <v>YES</v>
      </c>
      <c r="R451" s="14">
        <f>YEAR(TBL_Employees[[#This Row],[Hire Date]])</f>
        <v>2000</v>
      </c>
    </row>
    <row r="452" spans="1:18" x14ac:dyDescent="0.35">
      <c r="A452" t="s">
        <v>963</v>
      </c>
      <c r="B452" t="s">
        <v>964</v>
      </c>
      <c r="C452" t="s">
        <v>16</v>
      </c>
      <c r="D452" t="s">
        <v>35</v>
      </c>
      <c r="E452" t="s">
        <v>18</v>
      </c>
      <c r="F452" t="s">
        <v>27</v>
      </c>
      <c r="G452" t="s">
        <v>28</v>
      </c>
      <c r="H452">
        <v>43</v>
      </c>
      <c r="I452" s="5">
        <v>44303</v>
      </c>
      <c r="J452" s="11">
        <v>146140</v>
      </c>
      <c r="K452" s="6">
        <v>0.15</v>
      </c>
      <c r="L452" t="s">
        <v>21</v>
      </c>
      <c r="M452" t="s">
        <v>22</v>
      </c>
      <c r="N452" s="5" t="s">
        <v>31</v>
      </c>
      <c r="O452">
        <f>TBL_Employees[[#This Row],[Bonus %]]*TBL_Employees[[#This Row],[Annual Salary]]</f>
        <v>21921</v>
      </c>
      <c r="P452" t="str">
        <f>IF(TBL_Employees[[#This Row],[Age]]&gt;50,"Senior","Junior")</f>
        <v>Junior</v>
      </c>
      <c r="Q452" s="14" t="str">
        <f>IF(OR(D452="IT", J452&gt;100000), "YES", "NO")</f>
        <v>YES</v>
      </c>
      <c r="R452" s="14">
        <f>YEAR(TBL_Employees[[#This Row],[Hire Date]])</f>
        <v>2021</v>
      </c>
    </row>
    <row r="453" spans="1:18" x14ac:dyDescent="0.35">
      <c r="A453" t="s">
        <v>965</v>
      </c>
      <c r="B453" t="s">
        <v>966</v>
      </c>
      <c r="C453" t="s">
        <v>114</v>
      </c>
      <c r="D453" t="s">
        <v>70</v>
      </c>
      <c r="E453" t="s">
        <v>36</v>
      </c>
      <c r="F453" t="s">
        <v>19</v>
      </c>
      <c r="G453" t="s">
        <v>37</v>
      </c>
      <c r="H453">
        <v>64</v>
      </c>
      <c r="I453" s="5">
        <v>34505</v>
      </c>
      <c r="J453" s="11">
        <v>109456</v>
      </c>
      <c r="K453" s="6">
        <v>0.1</v>
      </c>
      <c r="L453" t="s">
        <v>21</v>
      </c>
      <c r="M453" t="s">
        <v>38</v>
      </c>
      <c r="N453" s="5" t="s">
        <v>31</v>
      </c>
      <c r="O453">
        <f>TBL_Employees[[#This Row],[Bonus %]]*TBL_Employees[[#This Row],[Annual Salary]]</f>
        <v>10945.6</v>
      </c>
      <c r="P453" t="str">
        <f>IF(TBL_Employees[[#This Row],[Age]]&gt;50,"Senior","Junior")</f>
        <v>Senior</v>
      </c>
      <c r="Q453" s="14" t="str">
        <f>IF(OR(D453="IT", J453&gt;100000), "YES", "NO")</f>
        <v>YES</v>
      </c>
      <c r="R453" s="14">
        <f>YEAR(TBL_Employees[[#This Row],[Hire Date]])</f>
        <v>1994</v>
      </c>
    </row>
    <row r="454" spans="1:18" x14ac:dyDescent="0.35">
      <c r="A454" t="s">
        <v>967</v>
      </c>
      <c r="B454" t="s">
        <v>968</v>
      </c>
      <c r="C454" t="s">
        <v>34</v>
      </c>
      <c r="D454" t="s">
        <v>35</v>
      </c>
      <c r="E454" t="s">
        <v>18</v>
      </c>
      <c r="F454" t="s">
        <v>19</v>
      </c>
      <c r="G454" t="s">
        <v>86</v>
      </c>
      <c r="H454">
        <v>65</v>
      </c>
      <c r="I454" s="5">
        <v>39728</v>
      </c>
      <c r="J454" s="11">
        <v>170221</v>
      </c>
      <c r="K454" s="6">
        <v>0.15</v>
      </c>
      <c r="L454" t="s">
        <v>94</v>
      </c>
      <c r="M454" t="s">
        <v>95</v>
      </c>
      <c r="N454" s="5" t="s">
        <v>31</v>
      </c>
      <c r="O454">
        <f>TBL_Employees[[#This Row],[Bonus %]]*TBL_Employees[[#This Row],[Annual Salary]]</f>
        <v>25533.149999999998</v>
      </c>
      <c r="P454" t="str">
        <f>IF(TBL_Employees[[#This Row],[Age]]&gt;50,"Senior","Junior")</f>
        <v>Senior</v>
      </c>
      <c r="Q454" s="14" t="str">
        <f>IF(OR(D454="IT", J454&gt;100000), "YES", "NO")</f>
        <v>YES</v>
      </c>
      <c r="R454" s="14">
        <f>YEAR(TBL_Employees[[#This Row],[Hire Date]])</f>
        <v>2008</v>
      </c>
    </row>
    <row r="455" spans="1:18" x14ac:dyDescent="0.35">
      <c r="A455" t="s">
        <v>722</v>
      </c>
      <c r="B455" t="s">
        <v>969</v>
      </c>
      <c r="C455" t="s">
        <v>41</v>
      </c>
      <c r="D455" t="s">
        <v>17</v>
      </c>
      <c r="E455" t="s">
        <v>18</v>
      </c>
      <c r="F455" t="s">
        <v>19</v>
      </c>
      <c r="G455" t="s">
        <v>37</v>
      </c>
      <c r="H455">
        <v>42</v>
      </c>
      <c r="I455" s="5">
        <v>38777</v>
      </c>
      <c r="J455" s="11">
        <v>97433</v>
      </c>
      <c r="K455" s="6">
        <v>0.05</v>
      </c>
      <c r="L455" t="s">
        <v>21</v>
      </c>
      <c r="M455" t="s">
        <v>22</v>
      </c>
      <c r="N455" s="5">
        <v>42224</v>
      </c>
      <c r="O455">
        <f>TBL_Employees[[#This Row],[Bonus %]]*TBL_Employees[[#This Row],[Annual Salary]]</f>
        <v>4871.6500000000005</v>
      </c>
      <c r="P455" t="str">
        <f>IF(TBL_Employees[[#This Row],[Age]]&gt;50,"Senior","Junior")</f>
        <v>Junior</v>
      </c>
      <c r="Q455" s="14" t="str">
        <f>IF(OR(D455="IT", J455&gt;100000), "YES", "NO")</f>
        <v>YES</v>
      </c>
      <c r="R455" s="14">
        <f>YEAR(TBL_Employees[[#This Row],[Hire Date]])</f>
        <v>2006</v>
      </c>
    </row>
    <row r="456" spans="1:18" x14ac:dyDescent="0.35">
      <c r="A456" t="s">
        <v>970</v>
      </c>
      <c r="B456" t="s">
        <v>971</v>
      </c>
      <c r="C456" t="s">
        <v>48</v>
      </c>
      <c r="D456" t="s">
        <v>49</v>
      </c>
      <c r="E456" t="s">
        <v>26</v>
      </c>
      <c r="F456" t="s">
        <v>27</v>
      </c>
      <c r="G456" t="s">
        <v>28</v>
      </c>
      <c r="H456">
        <v>35</v>
      </c>
      <c r="I456" s="5">
        <v>41516</v>
      </c>
      <c r="J456" s="11">
        <v>59646</v>
      </c>
      <c r="K456" s="6">
        <v>0</v>
      </c>
      <c r="L456" t="s">
        <v>29</v>
      </c>
      <c r="M456" t="s">
        <v>75</v>
      </c>
      <c r="N456" s="5" t="s">
        <v>31</v>
      </c>
      <c r="O456">
        <f>TBL_Employees[[#This Row],[Bonus %]]*TBL_Employees[[#This Row],[Annual Salary]]</f>
        <v>0</v>
      </c>
      <c r="P456" t="str">
        <f>IF(TBL_Employees[[#This Row],[Age]]&gt;50,"Senior","Junior")</f>
        <v>Junior</v>
      </c>
      <c r="Q456" s="14" t="str">
        <f>IF(OR(D456="IT", J456&gt;100000), "YES", "NO")</f>
        <v>NO</v>
      </c>
      <c r="R456" s="14">
        <f>YEAR(TBL_Employees[[#This Row],[Hire Date]])</f>
        <v>2013</v>
      </c>
    </row>
    <row r="457" spans="1:18" x14ac:dyDescent="0.35">
      <c r="A457" t="s">
        <v>972</v>
      </c>
      <c r="B457" t="s">
        <v>973</v>
      </c>
      <c r="C457" t="s">
        <v>34</v>
      </c>
      <c r="D457" t="s">
        <v>70</v>
      </c>
      <c r="E457" t="s">
        <v>36</v>
      </c>
      <c r="F457" t="s">
        <v>27</v>
      </c>
      <c r="G457" t="s">
        <v>28</v>
      </c>
      <c r="H457">
        <v>64</v>
      </c>
      <c r="I457" s="5">
        <v>34940</v>
      </c>
      <c r="J457" s="11">
        <v>158787</v>
      </c>
      <c r="K457" s="6">
        <v>0.18</v>
      </c>
      <c r="L457" t="s">
        <v>29</v>
      </c>
      <c r="M457" t="s">
        <v>135</v>
      </c>
      <c r="N457" s="5" t="s">
        <v>31</v>
      </c>
      <c r="O457">
        <f>TBL_Employees[[#This Row],[Bonus %]]*TBL_Employees[[#This Row],[Annual Salary]]</f>
        <v>28581.66</v>
      </c>
      <c r="P457" t="str">
        <f>IF(TBL_Employees[[#This Row],[Age]]&gt;50,"Senior","Junior")</f>
        <v>Senior</v>
      </c>
      <c r="Q457" s="14" t="str">
        <f>IF(OR(D457="IT", J457&gt;100000), "YES", "NO")</f>
        <v>YES</v>
      </c>
      <c r="R457" s="14">
        <f>YEAR(TBL_Employees[[#This Row],[Hire Date]])</f>
        <v>1995</v>
      </c>
    </row>
    <row r="458" spans="1:18" x14ac:dyDescent="0.35">
      <c r="A458" t="s">
        <v>974</v>
      </c>
      <c r="B458" t="s">
        <v>975</v>
      </c>
      <c r="C458" t="s">
        <v>69</v>
      </c>
      <c r="D458" t="s">
        <v>70</v>
      </c>
      <c r="E458" t="s">
        <v>18</v>
      </c>
      <c r="F458" t="s">
        <v>27</v>
      </c>
      <c r="G458" t="s">
        <v>28</v>
      </c>
      <c r="H458">
        <v>55</v>
      </c>
      <c r="I458" s="5">
        <v>43219</v>
      </c>
      <c r="J458" s="11">
        <v>83378</v>
      </c>
      <c r="K458" s="6">
        <v>0</v>
      </c>
      <c r="L458" t="s">
        <v>29</v>
      </c>
      <c r="M458" t="s">
        <v>115</v>
      </c>
      <c r="N458" s="5" t="s">
        <v>31</v>
      </c>
      <c r="O458">
        <f>TBL_Employees[[#This Row],[Bonus %]]*TBL_Employees[[#This Row],[Annual Salary]]</f>
        <v>0</v>
      </c>
      <c r="P458" t="str">
        <f>IF(TBL_Employees[[#This Row],[Age]]&gt;50,"Senior","Junior")</f>
        <v>Senior</v>
      </c>
      <c r="Q458" s="14" t="str">
        <f>IF(OR(D458="IT", J458&gt;100000), "YES", "NO")</f>
        <v>NO</v>
      </c>
      <c r="R458" s="14">
        <f>YEAR(TBL_Employees[[#This Row],[Hire Date]])</f>
        <v>2018</v>
      </c>
    </row>
    <row r="459" spans="1:18" x14ac:dyDescent="0.35">
      <c r="A459" t="s">
        <v>976</v>
      </c>
      <c r="B459" t="s">
        <v>977</v>
      </c>
      <c r="C459" t="s">
        <v>44</v>
      </c>
      <c r="D459" t="s">
        <v>81</v>
      </c>
      <c r="E459" t="s">
        <v>50</v>
      </c>
      <c r="F459" t="s">
        <v>19</v>
      </c>
      <c r="G459" t="s">
        <v>86</v>
      </c>
      <c r="H459">
        <v>32</v>
      </c>
      <c r="I459" s="5">
        <v>41590</v>
      </c>
      <c r="J459" s="11">
        <v>88895</v>
      </c>
      <c r="K459" s="6">
        <v>0</v>
      </c>
      <c r="L459" t="s">
        <v>21</v>
      </c>
      <c r="M459" t="s">
        <v>38</v>
      </c>
      <c r="N459" s="5" t="s">
        <v>31</v>
      </c>
      <c r="O459">
        <f>TBL_Employees[[#This Row],[Bonus %]]*TBL_Employees[[#This Row],[Annual Salary]]</f>
        <v>0</v>
      </c>
      <c r="P459" t="str">
        <f>IF(TBL_Employees[[#This Row],[Age]]&gt;50,"Senior","Junior")</f>
        <v>Junior</v>
      </c>
      <c r="Q459" s="14" t="str">
        <f>IF(OR(D459="IT", J459&gt;100000), "YES", "NO")</f>
        <v>NO</v>
      </c>
      <c r="R459" s="14">
        <f>YEAR(TBL_Employees[[#This Row],[Hire Date]])</f>
        <v>2013</v>
      </c>
    </row>
    <row r="460" spans="1:18" x14ac:dyDescent="0.35">
      <c r="A460" t="s">
        <v>978</v>
      </c>
      <c r="B460" t="s">
        <v>979</v>
      </c>
      <c r="C460" t="s">
        <v>34</v>
      </c>
      <c r="D460" t="s">
        <v>81</v>
      </c>
      <c r="E460" t="s">
        <v>50</v>
      </c>
      <c r="F460" t="s">
        <v>27</v>
      </c>
      <c r="G460" t="s">
        <v>28</v>
      </c>
      <c r="H460">
        <v>45</v>
      </c>
      <c r="I460" s="5">
        <v>38332</v>
      </c>
      <c r="J460" s="11">
        <v>168846</v>
      </c>
      <c r="K460" s="6">
        <v>0.24</v>
      </c>
      <c r="L460" t="s">
        <v>29</v>
      </c>
      <c r="M460" t="s">
        <v>30</v>
      </c>
      <c r="N460" s="5" t="s">
        <v>31</v>
      </c>
      <c r="O460">
        <f>TBL_Employees[[#This Row],[Bonus %]]*TBL_Employees[[#This Row],[Annual Salary]]</f>
        <v>40523.040000000001</v>
      </c>
      <c r="P460" t="str">
        <f>IF(TBL_Employees[[#This Row],[Age]]&gt;50,"Senior","Junior")</f>
        <v>Junior</v>
      </c>
      <c r="Q460" s="14" t="str">
        <f>IF(OR(D460="IT", J460&gt;100000), "YES", "NO")</f>
        <v>YES</v>
      </c>
      <c r="R460" s="14">
        <f>YEAR(TBL_Employees[[#This Row],[Hire Date]])</f>
        <v>2004</v>
      </c>
    </row>
    <row r="461" spans="1:18" x14ac:dyDescent="0.35">
      <c r="A461" t="s">
        <v>980</v>
      </c>
      <c r="B461" t="s">
        <v>981</v>
      </c>
      <c r="C461" t="s">
        <v>185</v>
      </c>
      <c r="D461" t="s">
        <v>66</v>
      </c>
      <c r="E461" t="s">
        <v>18</v>
      </c>
      <c r="F461" t="s">
        <v>27</v>
      </c>
      <c r="G461" t="s">
        <v>28</v>
      </c>
      <c r="H461">
        <v>35</v>
      </c>
      <c r="I461" s="5">
        <v>40596</v>
      </c>
      <c r="J461" s="11">
        <v>43336</v>
      </c>
      <c r="K461" s="6">
        <v>0</v>
      </c>
      <c r="L461" t="s">
        <v>21</v>
      </c>
      <c r="M461" t="s">
        <v>61</v>
      </c>
      <c r="N461" s="5">
        <v>44024</v>
      </c>
      <c r="O461">
        <f>TBL_Employees[[#This Row],[Bonus %]]*TBL_Employees[[#This Row],[Annual Salary]]</f>
        <v>0</v>
      </c>
      <c r="P461" t="str">
        <f>IF(TBL_Employees[[#This Row],[Age]]&gt;50,"Senior","Junior")</f>
        <v>Junior</v>
      </c>
      <c r="Q461" s="14" t="str">
        <f>IF(OR(D461="IT", J461&gt;100000), "YES", "NO")</f>
        <v>NO</v>
      </c>
      <c r="R461" s="14">
        <f>YEAR(TBL_Employees[[#This Row],[Hire Date]])</f>
        <v>2011</v>
      </c>
    </row>
    <row r="462" spans="1:18" x14ac:dyDescent="0.35">
      <c r="A462" t="s">
        <v>982</v>
      </c>
      <c r="B462" t="s">
        <v>983</v>
      </c>
      <c r="C462" t="s">
        <v>16</v>
      </c>
      <c r="D462" t="s">
        <v>66</v>
      </c>
      <c r="E462" t="s">
        <v>50</v>
      </c>
      <c r="F462" t="s">
        <v>27</v>
      </c>
      <c r="G462" t="s">
        <v>86</v>
      </c>
      <c r="H462">
        <v>38</v>
      </c>
      <c r="I462" s="5">
        <v>40083</v>
      </c>
      <c r="J462" s="11">
        <v>127801</v>
      </c>
      <c r="K462" s="6">
        <v>0.15</v>
      </c>
      <c r="L462" t="s">
        <v>21</v>
      </c>
      <c r="M462" t="s">
        <v>45</v>
      </c>
      <c r="N462" s="5" t="s">
        <v>31</v>
      </c>
      <c r="O462">
        <f>TBL_Employees[[#This Row],[Bonus %]]*TBL_Employees[[#This Row],[Annual Salary]]</f>
        <v>19170.149999999998</v>
      </c>
      <c r="P462" t="str">
        <f>IF(TBL_Employees[[#This Row],[Age]]&gt;50,"Senior","Junior")</f>
        <v>Junior</v>
      </c>
      <c r="Q462" s="14" t="str">
        <f>IF(OR(D462="IT", J462&gt;100000), "YES", "NO")</f>
        <v>YES</v>
      </c>
      <c r="R462" s="14">
        <f>YEAR(TBL_Employees[[#This Row],[Hire Date]])</f>
        <v>2009</v>
      </c>
    </row>
    <row r="463" spans="1:18" x14ac:dyDescent="0.35">
      <c r="A463" t="s">
        <v>984</v>
      </c>
      <c r="B463" t="s">
        <v>985</v>
      </c>
      <c r="C463" t="s">
        <v>486</v>
      </c>
      <c r="D463" t="s">
        <v>17</v>
      </c>
      <c r="E463" t="s">
        <v>50</v>
      </c>
      <c r="F463" t="s">
        <v>27</v>
      </c>
      <c r="G463" t="s">
        <v>20</v>
      </c>
      <c r="H463">
        <v>54</v>
      </c>
      <c r="I463" s="5">
        <v>36617</v>
      </c>
      <c r="J463" s="11">
        <v>76352</v>
      </c>
      <c r="K463" s="6">
        <v>0</v>
      </c>
      <c r="L463" t="s">
        <v>21</v>
      </c>
      <c r="M463" t="s">
        <v>61</v>
      </c>
      <c r="N463" s="5" t="s">
        <v>31</v>
      </c>
      <c r="O463">
        <f>TBL_Employees[[#This Row],[Bonus %]]*TBL_Employees[[#This Row],[Annual Salary]]</f>
        <v>0</v>
      </c>
      <c r="P463" t="str">
        <f>IF(TBL_Employees[[#This Row],[Age]]&gt;50,"Senior","Junior")</f>
        <v>Senior</v>
      </c>
      <c r="Q463" s="14" t="str">
        <f>IF(OR(D463="IT", J463&gt;100000), "YES", "NO")</f>
        <v>YES</v>
      </c>
      <c r="R463" s="14">
        <f>YEAR(TBL_Employees[[#This Row],[Hire Date]])</f>
        <v>2000</v>
      </c>
    </row>
    <row r="464" spans="1:18" x14ac:dyDescent="0.35">
      <c r="A464" t="s">
        <v>986</v>
      </c>
      <c r="B464" t="s">
        <v>987</v>
      </c>
      <c r="C464" t="s">
        <v>80</v>
      </c>
      <c r="D464" t="s">
        <v>35</v>
      </c>
      <c r="E464" t="s">
        <v>50</v>
      </c>
      <c r="F464" t="s">
        <v>27</v>
      </c>
      <c r="G464" t="s">
        <v>37</v>
      </c>
      <c r="H464">
        <v>28</v>
      </c>
      <c r="I464" s="5">
        <v>43638</v>
      </c>
      <c r="J464" s="11">
        <v>250767</v>
      </c>
      <c r="K464" s="6">
        <v>0.38</v>
      </c>
      <c r="L464" t="s">
        <v>21</v>
      </c>
      <c r="M464" t="s">
        <v>22</v>
      </c>
      <c r="N464" s="5" t="s">
        <v>31</v>
      </c>
      <c r="O464">
        <f>TBL_Employees[[#This Row],[Bonus %]]*TBL_Employees[[#This Row],[Annual Salary]]</f>
        <v>95291.46</v>
      </c>
      <c r="P464" t="str">
        <f>IF(TBL_Employees[[#This Row],[Age]]&gt;50,"Senior","Junior")</f>
        <v>Junior</v>
      </c>
      <c r="Q464" s="14" t="str">
        <f>IF(OR(D464="IT", J464&gt;100000), "YES", "NO")</f>
        <v>YES</v>
      </c>
      <c r="R464" s="14">
        <f>YEAR(TBL_Employees[[#This Row],[Hire Date]])</f>
        <v>2019</v>
      </c>
    </row>
    <row r="465" spans="1:18" x14ac:dyDescent="0.35">
      <c r="A465" t="s">
        <v>988</v>
      </c>
      <c r="B465" t="s">
        <v>989</v>
      </c>
      <c r="C465" t="s">
        <v>80</v>
      </c>
      <c r="D465" t="s">
        <v>81</v>
      </c>
      <c r="E465" t="s">
        <v>50</v>
      </c>
      <c r="F465" t="s">
        <v>27</v>
      </c>
      <c r="G465" t="s">
        <v>37</v>
      </c>
      <c r="H465">
        <v>26</v>
      </c>
      <c r="I465" s="5">
        <v>44101</v>
      </c>
      <c r="J465" s="11">
        <v>223055</v>
      </c>
      <c r="K465" s="6">
        <v>0.3</v>
      </c>
      <c r="L465" t="s">
        <v>21</v>
      </c>
      <c r="M465" t="s">
        <v>89</v>
      </c>
      <c r="N465" s="5" t="s">
        <v>31</v>
      </c>
      <c r="O465">
        <f>TBL_Employees[[#This Row],[Bonus %]]*TBL_Employees[[#This Row],[Annual Salary]]</f>
        <v>66916.5</v>
      </c>
      <c r="P465" t="str">
        <f>IF(TBL_Employees[[#This Row],[Age]]&gt;50,"Senior","Junior")</f>
        <v>Junior</v>
      </c>
      <c r="Q465" s="14" t="str">
        <f>IF(OR(D465="IT", J465&gt;100000), "YES", "NO")</f>
        <v>YES</v>
      </c>
      <c r="R465" s="14">
        <f>YEAR(TBL_Employees[[#This Row],[Hire Date]])</f>
        <v>2020</v>
      </c>
    </row>
    <row r="466" spans="1:18" x14ac:dyDescent="0.35">
      <c r="A466" t="s">
        <v>990</v>
      </c>
      <c r="B466" t="s">
        <v>991</v>
      </c>
      <c r="C466" t="s">
        <v>34</v>
      </c>
      <c r="D466" t="s">
        <v>70</v>
      </c>
      <c r="E466" t="s">
        <v>50</v>
      </c>
      <c r="F466" t="s">
        <v>27</v>
      </c>
      <c r="G466" t="s">
        <v>86</v>
      </c>
      <c r="H466">
        <v>45</v>
      </c>
      <c r="I466" s="5">
        <v>39185</v>
      </c>
      <c r="J466" s="11">
        <v>189680</v>
      </c>
      <c r="K466" s="6">
        <v>0.23</v>
      </c>
      <c r="L466" t="s">
        <v>94</v>
      </c>
      <c r="M466" t="s">
        <v>219</v>
      </c>
      <c r="N466" s="5" t="s">
        <v>31</v>
      </c>
      <c r="O466">
        <f>TBL_Employees[[#This Row],[Bonus %]]*TBL_Employees[[#This Row],[Annual Salary]]</f>
        <v>43626.400000000001</v>
      </c>
      <c r="P466" t="str">
        <f>IF(TBL_Employees[[#This Row],[Age]]&gt;50,"Senior","Junior")</f>
        <v>Junior</v>
      </c>
      <c r="Q466" s="14" t="str">
        <f>IF(OR(D466="IT", J466&gt;100000), "YES", "NO")</f>
        <v>YES</v>
      </c>
      <c r="R466" s="14">
        <f>YEAR(TBL_Employees[[#This Row],[Hire Date]])</f>
        <v>2007</v>
      </c>
    </row>
    <row r="467" spans="1:18" x14ac:dyDescent="0.35">
      <c r="A467" t="s">
        <v>992</v>
      </c>
      <c r="B467" t="s">
        <v>993</v>
      </c>
      <c r="C467" t="s">
        <v>224</v>
      </c>
      <c r="D467" t="s">
        <v>70</v>
      </c>
      <c r="E467" t="s">
        <v>26</v>
      </c>
      <c r="F467" t="s">
        <v>27</v>
      </c>
      <c r="G467" t="s">
        <v>37</v>
      </c>
      <c r="H467">
        <v>57</v>
      </c>
      <c r="I467" s="5">
        <v>43299</v>
      </c>
      <c r="J467" s="11">
        <v>71167</v>
      </c>
      <c r="K467" s="6">
        <v>0</v>
      </c>
      <c r="L467" t="s">
        <v>21</v>
      </c>
      <c r="M467" t="s">
        <v>89</v>
      </c>
      <c r="N467" s="5" t="s">
        <v>31</v>
      </c>
      <c r="O467">
        <f>TBL_Employees[[#This Row],[Bonus %]]*TBL_Employees[[#This Row],[Annual Salary]]</f>
        <v>0</v>
      </c>
      <c r="P467" t="str">
        <f>IF(TBL_Employees[[#This Row],[Age]]&gt;50,"Senior","Junior")</f>
        <v>Senior</v>
      </c>
      <c r="Q467" s="14" t="str">
        <f>IF(OR(D467="IT", J467&gt;100000), "YES", "NO")</f>
        <v>NO</v>
      </c>
      <c r="R467" s="14">
        <f>YEAR(TBL_Employees[[#This Row],[Hire Date]])</f>
        <v>2018</v>
      </c>
    </row>
    <row r="468" spans="1:18" x14ac:dyDescent="0.35">
      <c r="A468" t="s">
        <v>994</v>
      </c>
      <c r="B468" t="s">
        <v>995</v>
      </c>
      <c r="C468" t="s">
        <v>25</v>
      </c>
      <c r="D468" t="s">
        <v>17</v>
      </c>
      <c r="E468" t="s">
        <v>36</v>
      </c>
      <c r="F468" t="s">
        <v>19</v>
      </c>
      <c r="G468" t="s">
        <v>37</v>
      </c>
      <c r="H468">
        <v>59</v>
      </c>
      <c r="I468" s="5">
        <v>40272</v>
      </c>
      <c r="J468" s="11">
        <v>76027</v>
      </c>
      <c r="K468" s="6">
        <v>0</v>
      </c>
      <c r="L468" t="s">
        <v>21</v>
      </c>
      <c r="M468" t="s">
        <v>22</v>
      </c>
      <c r="N468" s="5" t="s">
        <v>31</v>
      </c>
      <c r="O468">
        <f>TBL_Employees[[#This Row],[Bonus %]]*TBL_Employees[[#This Row],[Annual Salary]]</f>
        <v>0</v>
      </c>
      <c r="P468" t="str">
        <f>IF(TBL_Employees[[#This Row],[Age]]&gt;50,"Senior","Junior")</f>
        <v>Senior</v>
      </c>
      <c r="Q468" s="14" t="str">
        <f>IF(OR(D468="IT", J468&gt;100000), "YES", "NO")</f>
        <v>YES</v>
      </c>
      <c r="R468" s="14">
        <f>YEAR(TBL_Employees[[#This Row],[Hire Date]])</f>
        <v>2010</v>
      </c>
    </row>
    <row r="469" spans="1:18" x14ac:dyDescent="0.35">
      <c r="A469" t="s">
        <v>996</v>
      </c>
      <c r="B469" t="s">
        <v>997</v>
      </c>
      <c r="C469" t="s">
        <v>34</v>
      </c>
      <c r="D469" t="s">
        <v>70</v>
      </c>
      <c r="E469" t="s">
        <v>50</v>
      </c>
      <c r="F469" t="s">
        <v>27</v>
      </c>
      <c r="G469" t="s">
        <v>86</v>
      </c>
      <c r="H469">
        <v>48</v>
      </c>
      <c r="I469" s="5">
        <v>43809</v>
      </c>
      <c r="J469" s="11">
        <v>183113</v>
      </c>
      <c r="K469" s="6">
        <v>0.24</v>
      </c>
      <c r="L469" t="s">
        <v>94</v>
      </c>
      <c r="M469" t="s">
        <v>100</v>
      </c>
      <c r="N469" s="5" t="s">
        <v>31</v>
      </c>
      <c r="O469">
        <f>TBL_Employees[[#This Row],[Bonus %]]*TBL_Employees[[#This Row],[Annual Salary]]</f>
        <v>43947.119999999995</v>
      </c>
      <c r="P469" t="str">
        <f>IF(TBL_Employees[[#This Row],[Age]]&gt;50,"Senior","Junior")</f>
        <v>Junior</v>
      </c>
      <c r="Q469" s="14" t="str">
        <f>IF(OR(D469="IT", J469&gt;100000), "YES", "NO")</f>
        <v>YES</v>
      </c>
      <c r="R469" s="14">
        <f>YEAR(TBL_Employees[[#This Row],[Hire Date]])</f>
        <v>2019</v>
      </c>
    </row>
    <row r="470" spans="1:18" x14ac:dyDescent="0.35">
      <c r="A470" t="s">
        <v>998</v>
      </c>
      <c r="B470" t="s">
        <v>999</v>
      </c>
      <c r="C470" t="s">
        <v>125</v>
      </c>
      <c r="D470" t="s">
        <v>60</v>
      </c>
      <c r="E470" t="s">
        <v>26</v>
      </c>
      <c r="F470" t="s">
        <v>27</v>
      </c>
      <c r="G470" t="s">
        <v>20</v>
      </c>
      <c r="H470">
        <v>30</v>
      </c>
      <c r="I470" s="5">
        <v>44124</v>
      </c>
      <c r="J470" s="11">
        <v>67753</v>
      </c>
      <c r="K470" s="6">
        <v>0</v>
      </c>
      <c r="L470" t="s">
        <v>21</v>
      </c>
      <c r="M470" t="s">
        <v>45</v>
      </c>
      <c r="N470" s="5" t="s">
        <v>31</v>
      </c>
      <c r="O470">
        <f>TBL_Employees[[#This Row],[Bonus %]]*TBL_Employees[[#This Row],[Annual Salary]]</f>
        <v>0</v>
      </c>
      <c r="P470" t="str">
        <f>IF(TBL_Employees[[#This Row],[Age]]&gt;50,"Senior","Junior")</f>
        <v>Junior</v>
      </c>
      <c r="Q470" s="14" t="str">
        <f>IF(OR(D470="IT", J470&gt;100000), "YES", "NO")</f>
        <v>NO</v>
      </c>
      <c r="R470" s="14">
        <f>YEAR(TBL_Employees[[#This Row],[Hire Date]])</f>
        <v>2020</v>
      </c>
    </row>
    <row r="471" spans="1:18" x14ac:dyDescent="0.35">
      <c r="A471" t="s">
        <v>1000</v>
      </c>
      <c r="B471" t="s">
        <v>1001</v>
      </c>
      <c r="C471" t="s">
        <v>41</v>
      </c>
      <c r="D471" t="s">
        <v>17</v>
      </c>
      <c r="E471" t="s">
        <v>50</v>
      </c>
      <c r="F471" t="s">
        <v>27</v>
      </c>
      <c r="G471" t="s">
        <v>20</v>
      </c>
      <c r="H471">
        <v>31</v>
      </c>
      <c r="I471" s="5">
        <v>42656</v>
      </c>
      <c r="J471" s="11">
        <v>63744</v>
      </c>
      <c r="K471" s="6">
        <v>0.08</v>
      </c>
      <c r="L471" t="s">
        <v>21</v>
      </c>
      <c r="M471" t="s">
        <v>61</v>
      </c>
      <c r="N471" s="5" t="s">
        <v>31</v>
      </c>
      <c r="O471">
        <f>TBL_Employees[[#This Row],[Bonus %]]*TBL_Employees[[#This Row],[Annual Salary]]</f>
        <v>5099.5200000000004</v>
      </c>
      <c r="P471" t="str">
        <f>IF(TBL_Employees[[#This Row],[Age]]&gt;50,"Senior","Junior")</f>
        <v>Junior</v>
      </c>
      <c r="Q471" s="14" t="str">
        <f>IF(OR(D471="IT", J471&gt;100000), "YES", "NO")</f>
        <v>YES</v>
      </c>
      <c r="R471" s="14">
        <f>YEAR(TBL_Employees[[#This Row],[Hire Date]])</f>
        <v>2016</v>
      </c>
    </row>
    <row r="472" spans="1:18" x14ac:dyDescent="0.35">
      <c r="A472" t="s">
        <v>342</v>
      </c>
      <c r="B472" t="s">
        <v>1002</v>
      </c>
      <c r="C472" t="s">
        <v>109</v>
      </c>
      <c r="D472" t="s">
        <v>70</v>
      </c>
      <c r="E472" t="s">
        <v>26</v>
      </c>
      <c r="F472" t="s">
        <v>19</v>
      </c>
      <c r="G472" t="s">
        <v>28</v>
      </c>
      <c r="H472">
        <v>50</v>
      </c>
      <c r="I472" s="5">
        <v>37446</v>
      </c>
      <c r="J472" s="11">
        <v>92209</v>
      </c>
      <c r="K472" s="6">
        <v>0</v>
      </c>
      <c r="L472" t="s">
        <v>29</v>
      </c>
      <c r="M472" t="s">
        <v>75</v>
      </c>
      <c r="N472" s="5" t="s">
        <v>31</v>
      </c>
      <c r="O472">
        <f>TBL_Employees[[#This Row],[Bonus %]]*TBL_Employees[[#This Row],[Annual Salary]]</f>
        <v>0</v>
      </c>
      <c r="P472" t="str">
        <f>IF(TBL_Employees[[#This Row],[Age]]&gt;50,"Senior","Junior")</f>
        <v>Junior</v>
      </c>
      <c r="Q472" s="14" t="str">
        <f>IF(OR(D472="IT", J472&gt;100000), "YES", "NO")</f>
        <v>NO</v>
      </c>
      <c r="R472" s="14">
        <f>YEAR(TBL_Employees[[#This Row],[Hire Date]])</f>
        <v>2002</v>
      </c>
    </row>
    <row r="473" spans="1:18" x14ac:dyDescent="0.35">
      <c r="A473" t="s">
        <v>1003</v>
      </c>
      <c r="B473" t="s">
        <v>1004</v>
      </c>
      <c r="C473" t="s">
        <v>16</v>
      </c>
      <c r="D473" t="s">
        <v>49</v>
      </c>
      <c r="E473" t="s">
        <v>50</v>
      </c>
      <c r="F473" t="s">
        <v>27</v>
      </c>
      <c r="G473" t="s">
        <v>20</v>
      </c>
      <c r="H473">
        <v>51</v>
      </c>
      <c r="I473" s="5">
        <v>36770</v>
      </c>
      <c r="J473" s="11">
        <v>157487</v>
      </c>
      <c r="K473" s="6">
        <v>0.12</v>
      </c>
      <c r="L473" t="s">
        <v>21</v>
      </c>
      <c r="M473" t="s">
        <v>45</v>
      </c>
      <c r="N473" s="5" t="s">
        <v>31</v>
      </c>
      <c r="O473">
        <f>TBL_Employees[[#This Row],[Bonus %]]*TBL_Employees[[#This Row],[Annual Salary]]</f>
        <v>18898.439999999999</v>
      </c>
      <c r="P473" t="str">
        <f>IF(TBL_Employees[[#This Row],[Age]]&gt;50,"Senior","Junior")</f>
        <v>Senior</v>
      </c>
      <c r="Q473" s="14" t="str">
        <f>IF(OR(D473="IT", J473&gt;100000), "YES", "NO")</f>
        <v>YES</v>
      </c>
      <c r="R473" s="14">
        <f>YEAR(TBL_Employees[[#This Row],[Hire Date]])</f>
        <v>2000</v>
      </c>
    </row>
    <row r="474" spans="1:18" x14ac:dyDescent="0.35">
      <c r="A474" t="s">
        <v>1005</v>
      </c>
      <c r="B474" t="s">
        <v>1006</v>
      </c>
      <c r="C474" t="s">
        <v>44</v>
      </c>
      <c r="D474" t="s">
        <v>81</v>
      </c>
      <c r="E474" t="s">
        <v>18</v>
      </c>
      <c r="F474" t="s">
        <v>27</v>
      </c>
      <c r="G474" t="s">
        <v>86</v>
      </c>
      <c r="H474">
        <v>42</v>
      </c>
      <c r="I474" s="5">
        <v>42101</v>
      </c>
      <c r="J474" s="11">
        <v>99697</v>
      </c>
      <c r="K474" s="6">
        <v>0</v>
      </c>
      <c r="L474" t="s">
        <v>94</v>
      </c>
      <c r="M474" t="s">
        <v>100</v>
      </c>
      <c r="N474" s="5" t="s">
        <v>31</v>
      </c>
      <c r="O474">
        <f>TBL_Employees[[#This Row],[Bonus %]]*TBL_Employees[[#This Row],[Annual Salary]]</f>
        <v>0</v>
      </c>
      <c r="P474" t="str">
        <f>IF(TBL_Employees[[#This Row],[Age]]&gt;50,"Senior","Junior")</f>
        <v>Junior</v>
      </c>
      <c r="Q474" s="14" t="str">
        <f>IF(OR(D474="IT", J474&gt;100000), "YES", "NO")</f>
        <v>NO</v>
      </c>
      <c r="R474" s="14">
        <f>YEAR(TBL_Employees[[#This Row],[Hire Date]])</f>
        <v>2015</v>
      </c>
    </row>
    <row r="475" spans="1:18" x14ac:dyDescent="0.35">
      <c r="A475" t="s">
        <v>1007</v>
      </c>
      <c r="B475" t="s">
        <v>1008</v>
      </c>
      <c r="C475" t="s">
        <v>486</v>
      </c>
      <c r="D475" t="s">
        <v>17</v>
      </c>
      <c r="E475" t="s">
        <v>18</v>
      </c>
      <c r="F475" t="s">
        <v>27</v>
      </c>
      <c r="G475" t="s">
        <v>28</v>
      </c>
      <c r="H475">
        <v>45</v>
      </c>
      <c r="I475" s="5">
        <v>40235</v>
      </c>
      <c r="J475" s="11">
        <v>90770</v>
      </c>
      <c r="K475" s="6">
        <v>0</v>
      </c>
      <c r="L475" t="s">
        <v>21</v>
      </c>
      <c r="M475" t="s">
        <v>89</v>
      </c>
      <c r="N475" s="5" t="s">
        <v>31</v>
      </c>
      <c r="O475">
        <f>TBL_Employees[[#This Row],[Bonus %]]*TBL_Employees[[#This Row],[Annual Salary]]</f>
        <v>0</v>
      </c>
      <c r="P475" t="str">
        <f>IF(TBL_Employees[[#This Row],[Age]]&gt;50,"Senior","Junior")</f>
        <v>Junior</v>
      </c>
      <c r="Q475" s="14" t="str">
        <f>IF(OR(D475="IT", J475&gt;100000), "YES", "NO")</f>
        <v>YES</v>
      </c>
      <c r="R475" s="14">
        <f>YEAR(TBL_Employees[[#This Row],[Hire Date]])</f>
        <v>2010</v>
      </c>
    </row>
    <row r="476" spans="1:18" x14ac:dyDescent="0.35">
      <c r="A476" t="s">
        <v>1009</v>
      </c>
      <c r="B476" t="s">
        <v>1010</v>
      </c>
      <c r="C476" t="s">
        <v>56</v>
      </c>
      <c r="D476" t="s">
        <v>49</v>
      </c>
      <c r="E476" t="s">
        <v>36</v>
      </c>
      <c r="F476" t="s">
        <v>19</v>
      </c>
      <c r="G476" t="s">
        <v>28</v>
      </c>
      <c r="H476">
        <v>64</v>
      </c>
      <c r="I476" s="5">
        <v>38380</v>
      </c>
      <c r="J476" s="11">
        <v>55369</v>
      </c>
      <c r="K476" s="6">
        <v>0</v>
      </c>
      <c r="L476" t="s">
        <v>21</v>
      </c>
      <c r="M476" t="s">
        <v>45</v>
      </c>
      <c r="N476" s="5" t="s">
        <v>31</v>
      </c>
      <c r="O476">
        <f>TBL_Employees[[#This Row],[Bonus %]]*TBL_Employees[[#This Row],[Annual Salary]]</f>
        <v>0</v>
      </c>
      <c r="P476" t="str">
        <f>IF(TBL_Employees[[#This Row],[Age]]&gt;50,"Senior","Junior")</f>
        <v>Senior</v>
      </c>
      <c r="Q476" s="14" t="str">
        <f>IF(OR(D476="IT", J476&gt;100000), "YES", "NO")</f>
        <v>NO</v>
      </c>
      <c r="R476" s="14">
        <f>YEAR(TBL_Employees[[#This Row],[Hire Date]])</f>
        <v>2005</v>
      </c>
    </row>
    <row r="477" spans="1:18" x14ac:dyDescent="0.35">
      <c r="A477" t="s">
        <v>1011</v>
      </c>
      <c r="B477" t="s">
        <v>1012</v>
      </c>
      <c r="C477" t="s">
        <v>176</v>
      </c>
      <c r="D477" t="s">
        <v>70</v>
      </c>
      <c r="E477" t="s">
        <v>36</v>
      </c>
      <c r="F477" t="s">
        <v>19</v>
      </c>
      <c r="G477" t="s">
        <v>86</v>
      </c>
      <c r="H477">
        <v>59</v>
      </c>
      <c r="I477" s="5">
        <v>41898</v>
      </c>
      <c r="J477" s="11">
        <v>69578</v>
      </c>
      <c r="K477" s="6">
        <v>0</v>
      </c>
      <c r="L477" t="s">
        <v>94</v>
      </c>
      <c r="M477" t="s">
        <v>100</v>
      </c>
      <c r="N477" s="5" t="s">
        <v>31</v>
      </c>
      <c r="O477">
        <f>TBL_Employees[[#This Row],[Bonus %]]*TBL_Employees[[#This Row],[Annual Salary]]</f>
        <v>0</v>
      </c>
      <c r="P477" t="str">
        <f>IF(TBL_Employees[[#This Row],[Age]]&gt;50,"Senior","Junior")</f>
        <v>Senior</v>
      </c>
      <c r="Q477" s="14" t="str">
        <f>IF(OR(D477="IT", J477&gt;100000), "YES", "NO")</f>
        <v>NO</v>
      </c>
      <c r="R477" s="14">
        <f>YEAR(TBL_Employees[[#This Row],[Hire Date]])</f>
        <v>2014</v>
      </c>
    </row>
    <row r="478" spans="1:18" x14ac:dyDescent="0.35">
      <c r="A478" t="s">
        <v>1013</v>
      </c>
      <c r="B478" t="s">
        <v>1014</v>
      </c>
      <c r="C478" t="s">
        <v>34</v>
      </c>
      <c r="D478" t="s">
        <v>60</v>
      </c>
      <c r="E478" t="s">
        <v>36</v>
      </c>
      <c r="F478" t="s">
        <v>27</v>
      </c>
      <c r="G478" t="s">
        <v>37</v>
      </c>
      <c r="H478">
        <v>41</v>
      </c>
      <c r="I478" s="5">
        <v>41429</v>
      </c>
      <c r="J478" s="11">
        <v>167526</v>
      </c>
      <c r="K478" s="6">
        <v>0.26</v>
      </c>
      <c r="L478" t="s">
        <v>21</v>
      </c>
      <c r="M478" t="s">
        <v>57</v>
      </c>
      <c r="N478" s="5" t="s">
        <v>31</v>
      </c>
      <c r="O478">
        <f>TBL_Employees[[#This Row],[Bonus %]]*TBL_Employees[[#This Row],[Annual Salary]]</f>
        <v>43556.76</v>
      </c>
      <c r="P478" t="str">
        <f>IF(TBL_Employees[[#This Row],[Age]]&gt;50,"Senior","Junior")</f>
        <v>Junior</v>
      </c>
      <c r="Q478" s="14" t="str">
        <f>IF(OR(D478="IT", J478&gt;100000), "YES", "NO")</f>
        <v>YES</v>
      </c>
      <c r="R478" s="14">
        <f>YEAR(TBL_Employees[[#This Row],[Hire Date]])</f>
        <v>2013</v>
      </c>
    </row>
    <row r="479" spans="1:18" x14ac:dyDescent="0.35">
      <c r="A479" t="s">
        <v>1015</v>
      </c>
      <c r="B479" t="s">
        <v>1016</v>
      </c>
      <c r="C479" t="s">
        <v>176</v>
      </c>
      <c r="D479" t="s">
        <v>70</v>
      </c>
      <c r="E479" t="s">
        <v>36</v>
      </c>
      <c r="F479" t="s">
        <v>19</v>
      </c>
      <c r="G479" t="s">
        <v>86</v>
      </c>
      <c r="H479">
        <v>42</v>
      </c>
      <c r="I479" s="5">
        <v>44232</v>
      </c>
      <c r="J479" s="11">
        <v>65507</v>
      </c>
      <c r="K479" s="6">
        <v>0</v>
      </c>
      <c r="L479" t="s">
        <v>94</v>
      </c>
      <c r="M479" t="s">
        <v>95</v>
      </c>
      <c r="N479" s="5" t="s">
        <v>31</v>
      </c>
      <c r="O479">
        <f>TBL_Employees[[#This Row],[Bonus %]]*TBL_Employees[[#This Row],[Annual Salary]]</f>
        <v>0</v>
      </c>
      <c r="P479" t="str">
        <f>IF(TBL_Employees[[#This Row],[Age]]&gt;50,"Senior","Junior")</f>
        <v>Junior</v>
      </c>
      <c r="Q479" s="14" t="str">
        <f>IF(OR(D479="IT", J479&gt;100000), "YES", "NO")</f>
        <v>NO</v>
      </c>
      <c r="R479" s="14">
        <f>YEAR(TBL_Employees[[#This Row],[Hire Date]])</f>
        <v>2021</v>
      </c>
    </row>
    <row r="480" spans="1:18" x14ac:dyDescent="0.35">
      <c r="A480" t="s">
        <v>1017</v>
      </c>
      <c r="B480" t="s">
        <v>1018</v>
      </c>
      <c r="C480" t="s">
        <v>53</v>
      </c>
      <c r="D480" t="s">
        <v>35</v>
      </c>
      <c r="E480" t="s">
        <v>18</v>
      </c>
      <c r="F480" t="s">
        <v>27</v>
      </c>
      <c r="G480" t="s">
        <v>86</v>
      </c>
      <c r="H480">
        <v>54</v>
      </c>
      <c r="I480" s="5">
        <v>35913</v>
      </c>
      <c r="J480" s="11">
        <v>108268</v>
      </c>
      <c r="K480" s="6">
        <v>0.09</v>
      </c>
      <c r="L480" t="s">
        <v>94</v>
      </c>
      <c r="M480" t="s">
        <v>219</v>
      </c>
      <c r="N480" s="5">
        <v>38122</v>
      </c>
      <c r="O480">
        <f>TBL_Employees[[#This Row],[Bonus %]]*TBL_Employees[[#This Row],[Annual Salary]]</f>
        <v>9744.119999999999</v>
      </c>
      <c r="P480" t="str">
        <f>IF(TBL_Employees[[#This Row],[Age]]&gt;50,"Senior","Junior")</f>
        <v>Senior</v>
      </c>
      <c r="Q480" s="14" t="str">
        <f>IF(OR(D480="IT", J480&gt;100000), "YES", "NO")</f>
        <v>YES</v>
      </c>
      <c r="R480" s="14">
        <f>YEAR(TBL_Employees[[#This Row],[Hire Date]])</f>
        <v>1998</v>
      </c>
    </row>
    <row r="481" spans="1:18" x14ac:dyDescent="0.35">
      <c r="A481" t="s">
        <v>1019</v>
      </c>
      <c r="B481" t="s">
        <v>1020</v>
      </c>
      <c r="C481" t="s">
        <v>25</v>
      </c>
      <c r="D481" t="s">
        <v>17</v>
      </c>
      <c r="E481" t="s">
        <v>18</v>
      </c>
      <c r="F481" t="s">
        <v>27</v>
      </c>
      <c r="G481" t="s">
        <v>28</v>
      </c>
      <c r="H481">
        <v>37</v>
      </c>
      <c r="I481" s="5">
        <v>42405</v>
      </c>
      <c r="J481" s="11">
        <v>80055</v>
      </c>
      <c r="K481" s="6">
        <v>0</v>
      </c>
      <c r="L481" t="s">
        <v>29</v>
      </c>
      <c r="M481" t="s">
        <v>115</v>
      </c>
      <c r="N481" s="5" t="s">
        <v>31</v>
      </c>
      <c r="O481">
        <f>TBL_Employees[[#This Row],[Bonus %]]*TBL_Employees[[#This Row],[Annual Salary]]</f>
        <v>0</v>
      </c>
      <c r="P481" t="str">
        <f>IF(TBL_Employees[[#This Row],[Age]]&gt;50,"Senior","Junior")</f>
        <v>Junior</v>
      </c>
      <c r="Q481" s="14" t="str">
        <f>IF(OR(D481="IT", J481&gt;100000), "YES", "NO")</f>
        <v>YES</v>
      </c>
      <c r="R481" s="14">
        <f>YEAR(TBL_Employees[[#This Row],[Hire Date]])</f>
        <v>2016</v>
      </c>
    </row>
    <row r="482" spans="1:18" x14ac:dyDescent="0.35">
      <c r="A482" t="s">
        <v>1021</v>
      </c>
      <c r="B482" t="s">
        <v>1022</v>
      </c>
      <c r="C482" t="s">
        <v>44</v>
      </c>
      <c r="D482" t="s">
        <v>49</v>
      </c>
      <c r="E482" t="s">
        <v>18</v>
      </c>
      <c r="F482" t="s">
        <v>27</v>
      </c>
      <c r="G482" t="s">
        <v>86</v>
      </c>
      <c r="H482">
        <v>58</v>
      </c>
      <c r="I482" s="5">
        <v>39930</v>
      </c>
      <c r="J482" s="11">
        <v>76802</v>
      </c>
      <c r="K482" s="6">
        <v>0</v>
      </c>
      <c r="L482" t="s">
        <v>94</v>
      </c>
      <c r="M482" t="s">
        <v>95</v>
      </c>
      <c r="N482" s="5" t="s">
        <v>31</v>
      </c>
      <c r="O482">
        <f>TBL_Employees[[#This Row],[Bonus %]]*TBL_Employees[[#This Row],[Annual Salary]]</f>
        <v>0</v>
      </c>
      <c r="P482" t="str">
        <f>IF(TBL_Employees[[#This Row],[Age]]&gt;50,"Senior","Junior")</f>
        <v>Senior</v>
      </c>
      <c r="Q482" s="14" t="str">
        <f>IF(OR(D482="IT", J482&gt;100000), "YES", "NO")</f>
        <v>NO</v>
      </c>
      <c r="R482" s="14">
        <f>YEAR(TBL_Employees[[#This Row],[Hire Date]])</f>
        <v>2009</v>
      </c>
    </row>
    <row r="483" spans="1:18" x14ac:dyDescent="0.35">
      <c r="A483" t="s">
        <v>1023</v>
      </c>
      <c r="B483" t="s">
        <v>1024</v>
      </c>
      <c r="C483" t="s">
        <v>80</v>
      </c>
      <c r="D483" t="s">
        <v>49</v>
      </c>
      <c r="E483" t="s">
        <v>36</v>
      </c>
      <c r="F483" t="s">
        <v>27</v>
      </c>
      <c r="G483" t="s">
        <v>28</v>
      </c>
      <c r="H483">
        <v>47</v>
      </c>
      <c r="I483" s="5">
        <v>42696</v>
      </c>
      <c r="J483" s="11">
        <v>253249</v>
      </c>
      <c r="K483" s="6">
        <v>0.31</v>
      </c>
      <c r="L483" t="s">
        <v>21</v>
      </c>
      <c r="M483" t="s">
        <v>61</v>
      </c>
      <c r="N483" s="5" t="s">
        <v>31</v>
      </c>
      <c r="O483">
        <f>TBL_Employees[[#This Row],[Bonus %]]*TBL_Employees[[#This Row],[Annual Salary]]</f>
        <v>78507.19</v>
      </c>
      <c r="P483" t="str">
        <f>IF(TBL_Employees[[#This Row],[Age]]&gt;50,"Senior","Junior")</f>
        <v>Junior</v>
      </c>
      <c r="Q483" s="14" t="str">
        <f>IF(OR(D483="IT", J483&gt;100000), "YES", "NO")</f>
        <v>YES</v>
      </c>
      <c r="R483" s="14">
        <f>YEAR(TBL_Employees[[#This Row],[Hire Date]])</f>
        <v>2016</v>
      </c>
    </row>
    <row r="484" spans="1:18" x14ac:dyDescent="0.35">
      <c r="A484" t="s">
        <v>155</v>
      </c>
      <c r="B484" t="s">
        <v>1025</v>
      </c>
      <c r="C484" t="s">
        <v>144</v>
      </c>
      <c r="D484" t="s">
        <v>66</v>
      </c>
      <c r="E484" t="s">
        <v>18</v>
      </c>
      <c r="F484" t="s">
        <v>19</v>
      </c>
      <c r="G484" t="s">
        <v>28</v>
      </c>
      <c r="H484">
        <v>60</v>
      </c>
      <c r="I484" s="5">
        <v>38667</v>
      </c>
      <c r="J484" s="11">
        <v>78388</v>
      </c>
      <c r="K484" s="6">
        <v>0</v>
      </c>
      <c r="L484" t="s">
        <v>29</v>
      </c>
      <c r="M484" t="s">
        <v>30</v>
      </c>
      <c r="N484" s="5" t="s">
        <v>31</v>
      </c>
      <c r="O484">
        <f>TBL_Employees[[#This Row],[Bonus %]]*TBL_Employees[[#This Row],[Annual Salary]]</f>
        <v>0</v>
      </c>
      <c r="P484" t="str">
        <f>IF(TBL_Employees[[#This Row],[Age]]&gt;50,"Senior","Junior")</f>
        <v>Senior</v>
      </c>
      <c r="Q484" s="14" t="str">
        <f>IF(OR(D484="IT", J484&gt;100000), "YES", "NO")</f>
        <v>NO</v>
      </c>
      <c r="R484" s="14">
        <f>YEAR(TBL_Employees[[#This Row],[Hire Date]])</f>
        <v>2005</v>
      </c>
    </row>
    <row r="485" spans="1:18" x14ac:dyDescent="0.35">
      <c r="A485" t="s">
        <v>541</v>
      </c>
      <c r="B485" t="s">
        <v>1026</v>
      </c>
      <c r="C485" t="s">
        <v>80</v>
      </c>
      <c r="D485" t="s">
        <v>17</v>
      </c>
      <c r="E485" t="s">
        <v>50</v>
      </c>
      <c r="F485" t="s">
        <v>27</v>
      </c>
      <c r="G485" t="s">
        <v>37</v>
      </c>
      <c r="H485">
        <v>38</v>
      </c>
      <c r="I485" s="5">
        <v>42543</v>
      </c>
      <c r="J485" s="11">
        <v>249870</v>
      </c>
      <c r="K485" s="6">
        <v>0.34</v>
      </c>
      <c r="L485" t="s">
        <v>21</v>
      </c>
      <c r="M485" t="s">
        <v>38</v>
      </c>
      <c r="N485" s="5" t="s">
        <v>31</v>
      </c>
      <c r="O485">
        <f>TBL_Employees[[#This Row],[Bonus %]]*TBL_Employees[[#This Row],[Annual Salary]]</f>
        <v>84955.8</v>
      </c>
      <c r="P485" t="str">
        <f>IF(TBL_Employees[[#This Row],[Age]]&gt;50,"Senior","Junior")</f>
        <v>Junior</v>
      </c>
      <c r="Q485" s="14" t="str">
        <f>IF(OR(D485="IT", J485&gt;100000), "YES", "NO")</f>
        <v>YES</v>
      </c>
      <c r="R485" s="14">
        <f>YEAR(TBL_Employees[[#This Row],[Hire Date]])</f>
        <v>2016</v>
      </c>
    </row>
    <row r="486" spans="1:18" x14ac:dyDescent="0.35">
      <c r="A486" t="s">
        <v>743</v>
      </c>
      <c r="B486" t="s">
        <v>1027</v>
      </c>
      <c r="C486" t="s">
        <v>16</v>
      </c>
      <c r="D486" t="s">
        <v>81</v>
      </c>
      <c r="E486" t="s">
        <v>26</v>
      </c>
      <c r="F486" t="s">
        <v>27</v>
      </c>
      <c r="G486" t="s">
        <v>28</v>
      </c>
      <c r="H486">
        <v>63</v>
      </c>
      <c r="I486" s="5">
        <v>42064</v>
      </c>
      <c r="J486" s="11">
        <v>148321</v>
      </c>
      <c r="K486" s="6">
        <v>0.15</v>
      </c>
      <c r="L486" t="s">
        <v>29</v>
      </c>
      <c r="M486" t="s">
        <v>115</v>
      </c>
      <c r="N486" s="5" t="s">
        <v>31</v>
      </c>
      <c r="O486">
        <f>TBL_Employees[[#This Row],[Bonus %]]*TBL_Employees[[#This Row],[Annual Salary]]</f>
        <v>22248.149999999998</v>
      </c>
      <c r="P486" t="str">
        <f>IF(TBL_Employees[[#This Row],[Age]]&gt;50,"Senior","Junior")</f>
        <v>Senior</v>
      </c>
      <c r="Q486" s="14" t="str">
        <f>IF(OR(D486="IT", J486&gt;100000), "YES", "NO")</f>
        <v>YES</v>
      </c>
      <c r="R486" s="14">
        <f>YEAR(TBL_Employees[[#This Row],[Hire Date]])</f>
        <v>2015</v>
      </c>
    </row>
    <row r="487" spans="1:18" x14ac:dyDescent="0.35">
      <c r="A487" t="s">
        <v>1028</v>
      </c>
      <c r="B487" t="s">
        <v>1029</v>
      </c>
      <c r="C487" t="s">
        <v>463</v>
      </c>
      <c r="D487" t="s">
        <v>17</v>
      </c>
      <c r="E487" t="s">
        <v>50</v>
      </c>
      <c r="F487" t="s">
        <v>19</v>
      </c>
      <c r="G487" t="s">
        <v>28</v>
      </c>
      <c r="H487">
        <v>60</v>
      </c>
      <c r="I487" s="5">
        <v>38027</v>
      </c>
      <c r="J487" s="11">
        <v>90258</v>
      </c>
      <c r="K487" s="6">
        <v>0</v>
      </c>
      <c r="L487" t="s">
        <v>29</v>
      </c>
      <c r="M487" t="s">
        <v>30</v>
      </c>
      <c r="N487" s="5" t="s">
        <v>31</v>
      </c>
      <c r="O487">
        <f>TBL_Employees[[#This Row],[Bonus %]]*TBL_Employees[[#This Row],[Annual Salary]]</f>
        <v>0</v>
      </c>
      <c r="P487" t="str">
        <f>IF(TBL_Employees[[#This Row],[Age]]&gt;50,"Senior","Junior")</f>
        <v>Senior</v>
      </c>
      <c r="Q487" s="14" t="str">
        <f>IF(OR(D487="IT", J487&gt;100000), "YES", "NO")</f>
        <v>YES</v>
      </c>
      <c r="R487" s="14">
        <f>YEAR(TBL_Employees[[#This Row],[Hire Date]])</f>
        <v>2004</v>
      </c>
    </row>
    <row r="488" spans="1:18" x14ac:dyDescent="0.35">
      <c r="A488" t="s">
        <v>1030</v>
      </c>
      <c r="B488" t="s">
        <v>1031</v>
      </c>
      <c r="C488" t="s">
        <v>300</v>
      </c>
      <c r="D488" t="s">
        <v>17</v>
      </c>
      <c r="E488" t="s">
        <v>26</v>
      </c>
      <c r="F488" t="s">
        <v>19</v>
      </c>
      <c r="G488" t="s">
        <v>20</v>
      </c>
      <c r="H488">
        <v>42</v>
      </c>
      <c r="I488" s="5">
        <v>40593</v>
      </c>
      <c r="J488" s="11">
        <v>72486</v>
      </c>
      <c r="K488" s="6">
        <v>0</v>
      </c>
      <c r="L488" t="s">
        <v>21</v>
      </c>
      <c r="M488" t="s">
        <v>22</v>
      </c>
      <c r="N488" s="5" t="s">
        <v>31</v>
      </c>
      <c r="O488">
        <f>TBL_Employees[[#This Row],[Bonus %]]*TBL_Employees[[#This Row],[Annual Salary]]</f>
        <v>0</v>
      </c>
      <c r="P488" t="str">
        <f>IF(TBL_Employees[[#This Row],[Age]]&gt;50,"Senior","Junior")</f>
        <v>Junior</v>
      </c>
      <c r="Q488" s="14" t="str">
        <f>IF(OR(D488="IT", J488&gt;100000), "YES", "NO")</f>
        <v>YES</v>
      </c>
      <c r="R488" s="14">
        <f>YEAR(TBL_Employees[[#This Row],[Hire Date]])</f>
        <v>2011</v>
      </c>
    </row>
    <row r="489" spans="1:18" x14ac:dyDescent="0.35">
      <c r="A489" t="s">
        <v>1032</v>
      </c>
      <c r="B489" t="s">
        <v>1033</v>
      </c>
      <c r="C489" t="s">
        <v>44</v>
      </c>
      <c r="D489" t="s">
        <v>35</v>
      </c>
      <c r="E489" t="s">
        <v>50</v>
      </c>
      <c r="F489" t="s">
        <v>27</v>
      </c>
      <c r="G489" t="s">
        <v>86</v>
      </c>
      <c r="H489">
        <v>34</v>
      </c>
      <c r="I489" s="5">
        <v>41886</v>
      </c>
      <c r="J489" s="11">
        <v>95499</v>
      </c>
      <c r="K489" s="6">
        <v>0</v>
      </c>
      <c r="L489" t="s">
        <v>94</v>
      </c>
      <c r="M489" t="s">
        <v>219</v>
      </c>
      <c r="N489" s="5">
        <v>42958</v>
      </c>
      <c r="O489">
        <f>TBL_Employees[[#This Row],[Bonus %]]*TBL_Employees[[#This Row],[Annual Salary]]</f>
        <v>0</v>
      </c>
      <c r="P489" t="str">
        <f>IF(TBL_Employees[[#This Row],[Age]]&gt;50,"Senior","Junior")</f>
        <v>Junior</v>
      </c>
      <c r="Q489" s="14" t="str">
        <f>IF(OR(D489="IT", J489&gt;100000), "YES", "NO")</f>
        <v>NO</v>
      </c>
      <c r="R489" s="14">
        <f>YEAR(TBL_Employees[[#This Row],[Hire Date]])</f>
        <v>2014</v>
      </c>
    </row>
    <row r="490" spans="1:18" x14ac:dyDescent="0.35">
      <c r="A490" t="s">
        <v>1034</v>
      </c>
      <c r="B490" t="s">
        <v>1035</v>
      </c>
      <c r="C490" t="s">
        <v>44</v>
      </c>
      <c r="D490" t="s">
        <v>60</v>
      </c>
      <c r="E490" t="s">
        <v>18</v>
      </c>
      <c r="F490" t="s">
        <v>19</v>
      </c>
      <c r="G490" t="s">
        <v>86</v>
      </c>
      <c r="H490">
        <v>53</v>
      </c>
      <c r="I490" s="5">
        <v>38344</v>
      </c>
      <c r="J490" s="11">
        <v>90212</v>
      </c>
      <c r="K490" s="6">
        <v>0</v>
      </c>
      <c r="L490" t="s">
        <v>94</v>
      </c>
      <c r="M490" t="s">
        <v>219</v>
      </c>
      <c r="N490" s="5" t="s">
        <v>31</v>
      </c>
      <c r="O490">
        <f>TBL_Employees[[#This Row],[Bonus %]]*TBL_Employees[[#This Row],[Annual Salary]]</f>
        <v>0</v>
      </c>
      <c r="P490" t="str">
        <f>IF(TBL_Employees[[#This Row],[Age]]&gt;50,"Senior","Junior")</f>
        <v>Senior</v>
      </c>
      <c r="Q490" s="14" t="str">
        <f>IF(OR(D490="IT", J490&gt;100000), "YES", "NO")</f>
        <v>NO</v>
      </c>
      <c r="R490" s="14">
        <f>YEAR(TBL_Employees[[#This Row],[Hire Date]])</f>
        <v>2004</v>
      </c>
    </row>
    <row r="491" spans="1:18" x14ac:dyDescent="0.35">
      <c r="A491" t="s">
        <v>1036</v>
      </c>
      <c r="B491" t="s">
        <v>1037</v>
      </c>
      <c r="C491" t="s">
        <v>80</v>
      </c>
      <c r="D491" t="s">
        <v>81</v>
      </c>
      <c r="E491" t="s">
        <v>18</v>
      </c>
      <c r="F491" t="s">
        <v>27</v>
      </c>
      <c r="G491" t="s">
        <v>28</v>
      </c>
      <c r="H491">
        <v>39</v>
      </c>
      <c r="I491" s="5">
        <v>43804</v>
      </c>
      <c r="J491" s="11">
        <v>254057</v>
      </c>
      <c r="K491" s="6">
        <v>0.39</v>
      </c>
      <c r="L491" t="s">
        <v>29</v>
      </c>
      <c r="M491" t="s">
        <v>75</v>
      </c>
      <c r="N491" s="5" t="s">
        <v>31</v>
      </c>
      <c r="O491">
        <f>TBL_Employees[[#This Row],[Bonus %]]*TBL_Employees[[#This Row],[Annual Salary]]</f>
        <v>99082.23000000001</v>
      </c>
      <c r="P491" t="str">
        <f>IF(TBL_Employees[[#This Row],[Age]]&gt;50,"Senior","Junior")</f>
        <v>Junior</v>
      </c>
      <c r="Q491" s="14" t="str">
        <f>IF(OR(D491="IT", J491&gt;100000), "YES", "NO")</f>
        <v>YES</v>
      </c>
      <c r="R491" s="14">
        <f>YEAR(TBL_Employees[[#This Row],[Hire Date]])</f>
        <v>2019</v>
      </c>
    </row>
    <row r="492" spans="1:18" x14ac:dyDescent="0.35">
      <c r="A492" t="s">
        <v>1038</v>
      </c>
      <c r="B492" t="s">
        <v>1039</v>
      </c>
      <c r="C492" t="s">
        <v>185</v>
      </c>
      <c r="D492" t="s">
        <v>66</v>
      </c>
      <c r="E492" t="s">
        <v>26</v>
      </c>
      <c r="F492" t="s">
        <v>19</v>
      </c>
      <c r="G492" t="s">
        <v>86</v>
      </c>
      <c r="H492">
        <v>58</v>
      </c>
      <c r="I492" s="5">
        <v>40463</v>
      </c>
      <c r="J492" s="11">
        <v>43001</v>
      </c>
      <c r="K492" s="6">
        <v>0</v>
      </c>
      <c r="L492" t="s">
        <v>21</v>
      </c>
      <c r="M492" t="s">
        <v>61</v>
      </c>
      <c r="N492" s="5" t="s">
        <v>31</v>
      </c>
      <c r="O492">
        <f>TBL_Employees[[#This Row],[Bonus %]]*TBL_Employees[[#This Row],[Annual Salary]]</f>
        <v>0</v>
      </c>
      <c r="P492" t="str">
        <f>IF(TBL_Employees[[#This Row],[Age]]&gt;50,"Senior","Junior")</f>
        <v>Senior</v>
      </c>
      <c r="Q492" s="14" t="str">
        <f>IF(OR(D492="IT", J492&gt;100000), "YES", "NO")</f>
        <v>NO</v>
      </c>
      <c r="R492" s="14">
        <f>YEAR(TBL_Employees[[#This Row],[Hire Date]])</f>
        <v>2010</v>
      </c>
    </row>
    <row r="493" spans="1:18" x14ac:dyDescent="0.35">
      <c r="A493" t="s">
        <v>200</v>
      </c>
      <c r="B493" t="s">
        <v>1040</v>
      </c>
      <c r="C493" t="s">
        <v>41</v>
      </c>
      <c r="D493" t="s">
        <v>17</v>
      </c>
      <c r="E493" t="s">
        <v>26</v>
      </c>
      <c r="F493" t="s">
        <v>27</v>
      </c>
      <c r="G493" t="s">
        <v>86</v>
      </c>
      <c r="H493">
        <v>60</v>
      </c>
      <c r="I493" s="5">
        <v>36010</v>
      </c>
      <c r="J493" s="11">
        <v>85120</v>
      </c>
      <c r="K493" s="6">
        <v>0.09</v>
      </c>
      <c r="L493" t="s">
        <v>21</v>
      </c>
      <c r="M493" t="s">
        <v>22</v>
      </c>
      <c r="N493" s="5" t="s">
        <v>31</v>
      </c>
      <c r="O493">
        <f>TBL_Employees[[#This Row],[Bonus %]]*TBL_Employees[[#This Row],[Annual Salary]]</f>
        <v>7660.7999999999993</v>
      </c>
      <c r="P493" t="str">
        <f>IF(TBL_Employees[[#This Row],[Age]]&gt;50,"Senior","Junior")</f>
        <v>Senior</v>
      </c>
      <c r="Q493" s="14" t="str">
        <f>IF(OR(D493="IT", J493&gt;100000), "YES", "NO")</f>
        <v>YES</v>
      </c>
      <c r="R493" s="14">
        <f>YEAR(TBL_Employees[[#This Row],[Hire Date]])</f>
        <v>1998</v>
      </c>
    </row>
    <row r="494" spans="1:18" x14ac:dyDescent="0.35">
      <c r="A494" t="s">
        <v>1041</v>
      </c>
      <c r="B494" t="s">
        <v>1042</v>
      </c>
      <c r="C494" t="s">
        <v>185</v>
      </c>
      <c r="D494" t="s">
        <v>66</v>
      </c>
      <c r="E494" t="s">
        <v>26</v>
      </c>
      <c r="F494" t="s">
        <v>27</v>
      </c>
      <c r="G494" t="s">
        <v>86</v>
      </c>
      <c r="H494">
        <v>34</v>
      </c>
      <c r="I494" s="5">
        <v>42219</v>
      </c>
      <c r="J494" s="11">
        <v>52200</v>
      </c>
      <c r="K494" s="6">
        <v>0</v>
      </c>
      <c r="L494" t="s">
        <v>21</v>
      </c>
      <c r="M494" t="s">
        <v>89</v>
      </c>
      <c r="N494" s="5" t="s">
        <v>31</v>
      </c>
      <c r="O494">
        <f>TBL_Employees[[#This Row],[Bonus %]]*TBL_Employees[[#This Row],[Annual Salary]]</f>
        <v>0</v>
      </c>
      <c r="P494" t="str">
        <f>IF(TBL_Employees[[#This Row],[Age]]&gt;50,"Senior","Junior")</f>
        <v>Junior</v>
      </c>
      <c r="Q494" s="14" t="str">
        <f>IF(OR(D494="IT", J494&gt;100000), "YES", "NO")</f>
        <v>NO</v>
      </c>
      <c r="R494" s="14">
        <f>YEAR(TBL_Employees[[#This Row],[Hire Date]])</f>
        <v>2015</v>
      </c>
    </row>
    <row r="495" spans="1:18" x14ac:dyDescent="0.35">
      <c r="A495" t="s">
        <v>1043</v>
      </c>
      <c r="B495" t="s">
        <v>1044</v>
      </c>
      <c r="C495" t="s">
        <v>16</v>
      </c>
      <c r="D495" t="s">
        <v>66</v>
      </c>
      <c r="E495" t="s">
        <v>50</v>
      </c>
      <c r="F495" t="s">
        <v>19</v>
      </c>
      <c r="G495" t="s">
        <v>37</v>
      </c>
      <c r="H495">
        <v>60</v>
      </c>
      <c r="I495" s="5">
        <v>39739</v>
      </c>
      <c r="J495" s="11">
        <v>150855</v>
      </c>
      <c r="K495" s="6">
        <v>0.11</v>
      </c>
      <c r="L495" t="s">
        <v>21</v>
      </c>
      <c r="M495" t="s">
        <v>45</v>
      </c>
      <c r="N495" s="5" t="s">
        <v>31</v>
      </c>
      <c r="O495">
        <f>TBL_Employees[[#This Row],[Bonus %]]*TBL_Employees[[#This Row],[Annual Salary]]</f>
        <v>16594.05</v>
      </c>
      <c r="P495" t="str">
        <f>IF(TBL_Employees[[#This Row],[Age]]&gt;50,"Senior","Junior")</f>
        <v>Senior</v>
      </c>
      <c r="Q495" s="14" t="str">
        <f>IF(OR(D495="IT", J495&gt;100000), "YES", "NO")</f>
        <v>YES</v>
      </c>
      <c r="R495" s="14">
        <f>YEAR(TBL_Employees[[#This Row],[Hire Date]])</f>
        <v>2008</v>
      </c>
    </row>
    <row r="496" spans="1:18" x14ac:dyDescent="0.35">
      <c r="A496" t="s">
        <v>1045</v>
      </c>
      <c r="B496" t="s">
        <v>1046</v>
      </c>
      <c r="C496" t="s">
        <v>132</v>
      </c>
      <c r="D496" t="s">
        <v>17</v>
      </c>
      <c r="E496" t="s">
        <v>26</v>
      </c>
      <c r="F496" t="s">
        <v>19</v>
      </c>
      <c r="G496" t="s">
        <v>86</v>
      </c>
      <c r="H496">
        <v>53</v>
      </c>
      <c r="I496" s="5">
        <v>38188</v>
      </c>
      <c r="J496" s="11">
        <v>65702</v>
      </c>
      <c r="K496" s="6">
        <v>0</v>
      </c>
      <c r="L496" t="s">
        <v>21</v>
      </c>
      <c r="M496" t="s">
        <v>89</v>
      </c>
      <c r="N496" s="5" t="s">
        <v>31</v>
      </c>
      <c r="O496">
        <f>TBL_Employees[[#This Row],[Bonus %]]*TBL_Employees[[#This Row],[Annual Salary]]</f>
        <v>0</v>
      </c>
      <c r="P496" t="str">
        <f>IF(TBL_Employees[[#This Row],[Age]]&gt;50,"Senior","Junior")</f>
        <v>Senior</v>
      </c>
      <c r="Q496" s="14" t="str">
        <f>IF(OR(D496="IT", J496&gt;100000), "YES", "NO")</f>
        <v>YES</v>
      </c>
      <c r="R496" s="14">
        <f>YEAR(TBL_Employees[[#This Row],[Hire Date]])</f>
        <v>2004</v>
      </c>
    </row>
    <row r="497" spans="1:18" x14ac:dyDescent="0.35">
      <c r="A497" t="s">
        <v>1047</v>
      </c>
      <c r="B497" t="s">
        <v>1048</v>
      </c>
      <c r="C497" t="s">
        <v>34</v>
      </c>
      <c r="D497" t="s">
        <v>35</v>
      </c>
      <c r="E497" t="s">
        <v>50</v>
      </c>
      <c r="F497" t="s">
        <v>27</v>
      </c>
      <c r="G497" t="s">
        <v>28</v>
      </c>
      <c r="H497">
        <v>58</v>
      </c>
      <c r="I497" s="5">
        <v>39367</v>
      </c>
      <c r="J497" s="11">
        <v>162038</v>
      </c>
      <c r="K497" s="6">
        <v>0.24</v>
      </c>
      <c r="L497" t="s">
        <v>29</v>
      </c>
      <c r="M497" t="s">
        <v>30</v>
      </c>
      <c r="N497" s="5" t="s">
        <v>31</v>
      </c>
      <c r="O497">
        <f>TBL_Employees[[#This Row],[Bonus %]]*TBL_Employees[[#This Row],[Annual Salary]]</f>
        <v>38889.119999999995</v>
      </c>
      <c r="P497" t="str">
        <f>IF(TBL_Employees[[#This Row],[Age]]&gt;50,"Senior","Junior")</f>
        <v>Senior</v>
      </c>
      <c r="Q497" s="14" t="str">
        <f>IF(OR(D497="IT", J497&gt;100000), "YES", "NO")</f>
        <v>YES</v>
      </c>
      <c r="R497" s="14">
        <f>YEAR(TBL_Employees[[#This Row],[Hire Date]])</f>
        <v>2007</v>
      </c>
    </row>
    <row r="498" spans="1:18" x14ac:dyDescent="0.35">
      <c r="A498" t="s">
        <v>1049</v>
      </c>
      <c r="B498" t="s">
        <v>1050</v>
      </c>
      <c r="C498" t="s">
        <v>16</v>
      </c>
      <c r="D498" t="s">
        <v>81</v>
      </c>
      <c r="E498" t="s">
        <v>18</v>
      </c>
      <c r="F498" t="s">
        <v>19</v>
      </c>
      <c r="G498" t="s">
        <v>28</v>
      </c>
      <c r="H498">
        <v>25</v>
      </c>
      <c r="I498" s="5">
        <v>43930</v>
      </c>
      <c r="J498" s="11">
        <v>157057</v>
      </c>
      <c r="K498" s="6">
        <v>0.1</v>
      </c>
      <c r="L498" t="s">
        <v>21</v>
      </c>
      <c r="M498" t="s">
        <v>89</v>
      </c>
      <c r="N498" s="5" t="s">
        <v>31</v>
      </c>
      <c r="O498">
        <f>TBL_Employees[[#This Row],[Bonus %]]*TBL_Employees[[#This Row],[Annual Salary]]</f>
        <v>15705.7</v>
      </c>
      <c r="P498" t="str">
        <f>IF(TBL_Employees[[#This Row],[Age]]&gt;50,"Senior","Junior")</f>
        <v>Junior</v>
      </c>
      <c r="Q498" s="14" t="str">
        <f>IF(OR(D498="IT", J498&gt;100000), "YES", "NO")</f>
        <v>YES</v>
      </c>
      <c r="R498" s="14">
        <f>YEAR(TBL_Employees[[#This Row],[Hire Date]])</f>
        <v>2020</v>
      </c>
    </row>
    <row r="499" spans="1:18" x14ac:dyDescent="0.35">
      <c r="A499" t="s">
        <v>1051</v>
      </c>
      <c r="B499" t="s">
        <v>1052</v>
      </c>
      <c r="C499" t="s">
        <v>53</v>
      </c>
      <c r="D499" t="s">
        <v>17</v>
      </c>
      <c r="E499" t="s">
        <v>18</v>
      </c>
      <c r="F499" t="s">
        <v>27</v>
      </c>
      <c r="G499" t="s">
        <v>37</v>
      </c>
      <c r="H499">
        <v>46</v>
      </c>
      <c r="I499" s="5">
        <v>44419</v>
      </c>
      <c r="J499" s="11">
        <v>127559</v>
      </c>
      <c r="K499" s="6">
        <v>0.1</v>
      </c>
      <c r="L499" t="s">
        <v>21</v>
      </c>
      <c r="M499" t="s">
        <v>61</v>
      </c>
      <c r="N499" s="5" t="s">
        <v>31</v>
      </c>
      <c r="O499">
        <f>TBL_Employees[[#This Row],[Bonus %]]*TBL_Employees[[#This Row],[Annual Salary]]</f>
        <v>12755.900000000001</v>
      </c>
      <c r="P499" t="str">
        <f>IF(TBL_Employees[[#This Row],[Age]]&gt;50,"Senior","Junior")</f>
        <v>Junior</v>
      </c>
      <c r="Q499" s="14" t="str">
        <f>IF(OR(D499="IT", J499&gt;100000), "YES", "NO")</f>
        <v>YES</v>
      </c>
      <c r="R499" s="14">
        <f>YEAR(TBL_Employees[[#This Row],[Hire Date]])</f>
        <v>2021</v>
      </c>
    </row>
    <row r="500" spans="1:18" x14ac:dyDescent="0.35">
      <c r="A500" t="s">
        <v>1053</v>
      </c>
      <c r="B500" t="s">
        <v>1054</v>
      </c>
      <c r="C500" t="s">
        <v>176</v>
      </c>
      <c r="D500" t="s">
        <v>70</v>
      </c>
      <c r="E500" t="s">
        <v>50</v>
      </c>
      <c r="F500" t="s">
        <v>19</v>
      </c>
      <c r="G500" t="s">
        <v>37</v>
      </c>
      <c r="H500">
        <v>39</v>
      </c>
      <c r="I500" s="5">
        <v>43536</v>
      </c>
      <c r="J500" s="11">
        <v>62644</v>
      </c>
      <c r="K500" s="6">
        <v>0</v>
      </c>
      <c r="L500" t="s">
        <v>21</v>
      </c>
      <c r="M500" t="s">
        <v>22</v>
      </c>
      <c r="N500" s="5" t="s">
        <v>31</v>
      </c>
      <c r="O500">
        <f>TBL_Employees[[#This Row],[Bonus %]]*TBL_Employees[[#This Row],[Annual Salary]]</f>
        <v>0</v>
      </c>
      <c r="P500" t="str">
        <f>IF(TBL_Employees[[#This Row],[Age]]&gt;50,"Senior","Junior")</f>
        <v>Junior</v>
      </c>
      <c r="Q500" s="14" t="str">
        <f>IF(OR(D500="IT", J500&gt;100000), "YES", "NO")</f>
        <v>NO</v>
      </c>
      <c r="R500" s="14">
        <f>YEAR(TBL_Employees[[#This Row],[Hire Date]])</f>
        <v>2019</v>
      </c>
    </row>
    <row r="501" spans="1:18" x14ac:dyDescent="0.35">
      <c r="A501" t="s">
        <v>1055</v>
      </c>
      <c r="B501" t="s">
        <v>1056</v>
      </c>
      <c r="C501" t="s">
        <v>249</v>
      </c>
      <c r="D501" t="s">
        <v>17</v>
      </c>
      <c r="E501" t="s">
        <v>26</v>
      </c>
      <c r="F501" t="s">
        <v>27</v>
      </c>
      <c r="G501" t="s">
        <v>28</v>
      </c>
      <c r="H501">
        <v>50</v>
      </c>
      <c r="I501" s="5">
        <v>36956</v>
      </c>
      <c r="J501" s="11">
        <v>73907</v>
      </c>
      <c r="K501" s="6">
        <v>0</v>
      </c>
      <c r="L501" t="s">
        <v>29</v>
      </c>
      <c r="M501" t="s">
        <v>75</v>
      </c>
      <c r="N501" s="5" t="s">
        <v>31</v>
      </c>
      <c r="O501">
        <f>TBL_Employees[[#This Row],[Bonus %]]*TBL_Employees[[#This Row],[Annual Salary]]</f>
        <v>0</v>
      </c>
      <c r="P501" t="str">
        <f>IF(TBL_Employees[[#This Row],[Age]]&gt;50,"Senior","Junior")</f>
        <v>Junior</v>
      </c>
      <c r="Q501" s="14" t="str">
        <f>IF(OR(D501="IT", J501&gt;100000), "YES", "NO")</f>
        <v>YES</v>
      </c>
      <c r="R501" s="14">
        <f>YEAR(TBL_Employees[[#This Row],[Hire Date]])</f>
        <v>2001</v>
      </c>
    </row>
    <row r="502" spans="1:18" x14ac:dyDescent="0.35">
      <c r="A502" t="s">
        <v>1057</v>
      </c>
      <c r="B502" t="s">
        <v>1058</v>
      </c>
      <c r="C502" t="s">
        <v>44</v>
      </c>
      <c r="D502" t="s">
        <v>60</v>
      </c>
      <c r="E502" t="s">
        <v>26</v>
      </c>
      <c r="F502" t="s">
        <v>19</v>
      </c>
      <c r="G502" t="s">
        <v>37</v>
      </c>
      <c r="H502">
        <v>56</v>
      </c>
      <c r="I502" s="5">
        <v>43169</v>
      </c>
      <c r="J502" s="11">
        <v>90040</v>
      </c>
      <c r="K502" s="6">
        <v>0</v>
      </c>
      <c r="L502" t="s">
        <v>21</v>
      </c>
      <c r="M502" t="s">
        <v>38</v>
      </c>
      <c r="N502" s="5" t="s">
        <v>31</v>
      </c>
      <c r="O502">
        <f>TBL_Employees[[#This Row],[Bonus %]]*TBL_Employees[[#This Row],[Annual Salary]]</f>
        <v>0</v>
      </c>
      <c r="P502" t="str">
        <f>IF(TBL_Employees[[#This Row],[Age]]&gt;50,"Senior","Junior")</f>
        <v>Senior</v>
      </c>
      <c r="Q502" s="14" t="str">
        <f>IF(OR(D502="IT", J502&gt;100000), "YES", "NO")</f>
        <v>NO</v>
      </c>
      <c r="R502" s="14">
        <f>YEAR(TBL_Employees[[#This Row],[Hire Date]])</f>
        <v>2018</v>
      </c>
    </row>
    <row r="503" spans="1:18" x14ac:dyDescent="0.35">
      <c r="A503" t="s">
        <v>1059</v>
      </c>
      <c r="B503" t="s">
        <v>1060</v>
      </c>
      <c r="C503" t="s">
        <v>278</v>
      </c>
      <c r="D503" t="s">
        <v>70</v>
      </c>
      <c r="E503" t="s">
        <v>26</v>
      </c>
      <c r="F503" t="s">
        <v>19</v>
      </c>
      <c r="G503" t="s">
        <v>86</v>
      </c>
      <c r="H503">
        <v>30</v>
      </c>
      <c r="I503" s="5">
        <v>42516</v>
      </c>
      <c r="J503" s="11">
        <v>91134</v>
      </c>
      <c r="K503" s="6">
        <v>0</v>
      </c>
      <c r="L503" t="s">
        <v>94</v>
      </c>
      <c r="M503" t="s">
        <v>219</v>
      </c>
      <c r="N503" s="5" t="s">
        <v>31</v>
      </c>
      <c r="O503">
        <f>TBL_Employees[[#This Row],[Bonus %]]*TBL_Employees[[#This Row],[Annual Salary]]</f>
        <v>0</v>
      </c>
      <c r="P503" t="str">
        <f>IF(TBL_Employees[[#This Row],[Age]]&gt;50,"Senior","Junior")</f>
        <v>Junior</v>
      </c>
      <c r="Q503" s="14" t="str">
        <f>IF(OR(D503="IT", J503&gt;100000), "YES", "NO")</f>
        <v>NO</v>
      </c>
      <c r="R503" s="14">
        <f>YEAR(TBL_Employees[[#This Row],[Hire Date]])</f>
        <v>2016</v>
      </c>
    </row>
    <row r="504" spans="1:18" x14ac:dyDescent="0.35">
      <c r="A504" t="s">
        <v>1061</v>
      </c>
      <c r="B504" t="s">
        <v>1062</v>
      </c>
      <c r="C504" t="s">
        <v>80</v>
      </c>
      <c r="D504" t="s">
        <v>66</v>
      </c>
      <c r="E504" t="s">
        <v>36</v>
      </c>
      <c r="F504" t="s">
        <v>19</v>
      </c>
      <c r="G504" t="s">
        <v>28</v>
      </c>
      <c r="H504">
        <v>45</v>
      </c>
      <c r="I504" s="5">
        <v>44461</v>
      </c>
      <c r="J504" s="11">
        <v>201396</v>
      </c>
      <c r="K504" s="6">
        <v>0.32</v>
      </c>
      <c r="L504" t="s">
        <v>21</v>
      </c>
      <c r="M504" t="s">
        <v>57</v>
      </c>
      <c r="N504" s="5" t="s">
        <v>31</v>
      </c>
      <c r="O504">
        <f>TBL_Employees[[#This Row],[Bonus %]]*TBL_Employees[[#This Row],[Annual Salary]]</f>
        <v>64446.720000000001</v>
      </c>
      <c r="P504" t="str">
        <f>IF(TBL_Employees[[#This Row],[Age]]&gt;50,"Senior","Junior")</f>
        <v>Junior</v>
      </c>
      <c r="Q504" s="14" t="str">
        <f>IF(OR(D504="IT", J504&gt;100000), "YES", "NO")</f>
        <v>YES</v>
      </c>
      <c r="R504" s="14">
        <f>YEAR(TBL_Employees[[#This Row],[Hire Date]])</f>
        <v>2021</v>
      </c>
    </row>
    <row r="505" spans="1:18" x14ac:dyDescent="0.35">
      <c r="A505" t="s">
        <v>1063</v>
      </c>
      <c r="B505" t="s">
        <v>1064</v>
      </c>
      <c r="C505" t="s">
        <v>56</v>
      </c>
      <c r="D505" t="s">
        <v>60</v>
      </c>
      <c r="E505" t="s">
        <v>50</v>
      </c>
      <c r="F505" t="s">
        <v>19</v>
      </c>
      <c r="G505" t="s">
        <v>28</v>
      </c>
      <c r="H505">
        <v>55</v>
      </c>
      <c r="I505" s="5">
        <v>40899</v>
      </c>
      <c r="J505" s="11">
        <v>54733</v>
      </c>
      <c r="K505" s="6">
        <v>0</v>
      </c>
      <c r="L505" t="s">
        <v>29</v>
      </c>
      <c r="M505" t="s">
        <v>30</v>
      </c>
      <c r="N505" s="5" t="s">
        <v>31</v>
      </c>
      <c r="O505">
        <f>TBL_Employees[[#This Row],[Bonus %]]*TBL_Employees[[#This Row],[Annual Salary]]</f>
        <v>0</v>
      </c>
      <c r="P505" t="str">
        <f>IF(TBL_Employees[[#This Row],[Age]]&gt;50,"Senior","Junior")</f>
        <v>Senior</v>
      </c>
      <c r="Q505" s="14" t="str">
        <f>IF(OR(D505="IT", J505&gt;100000), "YES", "NO")</f>
        <v>NO</v>
      </c>
      <c r="R505" s="14">
        <f>YEAR(TBL_Employees[[#This Row],[Hire Date]])</f>
        <v>2011</v>
      </c>
    </row>
    <row r="506" spans="1:18" x14ac:dyDescent="0.35">
      <c r="A506" t="s">
        <v>1065</v>
      </c>
      <c r="B506" t="s">
        <v>1066</v>
      </c>
      <c r="C506" t="s">
        <v>300</v>
      </c>
      <c r="D506" t="s">
        <v>17</v>
      </c>
      <c r="E506" t="s">
        <v>50</v>
      </c>
      <c r="F506" t="s">
        <v>27</v>
      </c>
      <c r="G506" t="s">
        <v>20</v>
      </c>
      <c r="H506">
        <v>28</v>
      </c>
      <c r="I506" s="5">
        <v>43633</v>
      </c>
      <c r="J506" s="11">
        <v>65341</v>
      </c>
      <c r="K506" s="6">
        <v>0</v>
      </c>
      <c r="L506" t="s">
        <v>21</v>
      </c>
      <c r="M506" t="s">
        <v>57</v>
      </c>
      <c r="N506" s="5">
        <v>44662</v>
      </c>
      <c r="O506">
        <f>TBL_Employees[[#This Row],[Bonus %]]*TBL_Employees[[#This Row],[Annual Salary]]</f>
        <v>0</v>
      </c>
      <c r="P506" t="str">
        <f>IF(TBL_Employees[[#This Row],[Age]]&gt;50,"Senior","Junior")</f>
        <v>Junior</v>
      </c>
      <c r="Q506" s="14" t="str">
        <f>IF(OR(D506="IT", J506&gt;100000), "YES", "NO")</f>
        <v>YES</v>
      </c>
      <c r="R506" s="14">
        <f>YEAR(TBL_Employees[[#This Row],[Hire Date]])</f>
        <v>2019</v>
      </c>
    </row>
    <row r="507" spans="1:18" x14ac:dyDescent="0.35">
      <c r="A507" t="s">
        <v>1067</v>
      </c>
      <c r="B507" t="s">
        <v>1068</v>
      </c>
      <c r="C507" t="s">
        <v>16</v>
      </c>
      <c r="D507" t="s">
        <v>35</v>
      </c>
      <c r="E507" t="s">
        <v>50</v>
      </c>
      <c r="F507" t="s">
        <v>19</v>
      </c>
      <c r="G507" t="s">
        <v>20</v>
      </c>
      <c r="H507">
        <v>59</v>
      </c>
      <c r="I507" s="5">
        <v>43400</v>
      </c>
      <c r="J507" s="11">
        <v>139208</v>
      </c>
      <c r="K507" s="6">
        <v>0.11</v>
      </c>
      <c r="L507" t="s">
        <v>21</v>
      </c>
      <c r="M507" t="s">
        <v>61</v>
      </c>
      <c r="N507" s="5" t="s">
        <v>31</v>
      </c>
      <c r="O507">
        <f>TBL_Employees[[#This Row],[Bonus %]]*TBL_Employees[[#This Row],[Annual Salary]]</f>
        <v>15312.88</v>
      </c>
      <c r="P507" t="str">
        <f>IF(TBL_Employees[[#This Row],[Age]]&gt;50,"Senior","Junior")</f>
        <v>Senior</v>
      </c>
      <c r="Q507" s="14" t="str">
        <f>IF(OR(D507="IT", J507&gt;100000), "YES", "NO")</f>
        <v>YES</v>
      </c>
      <c r="R507" s="14">
        <f>YEAR(TBL_Employees[[#This Row],[Hire Date]])</f>
        <v>2018</v>
      </c>
    </row>
    <row r="508" spans="1:18" x14ac:dyDescent="0.35">
      <c r="A508" t="s">
        <v>1069</v>
      </c>
      <c r="B508" t="s">
        <v>1070</v>
      </c>
      <c r="C508" t="s">
        <v>44</v>
      </c>
      <c r="D508" t="s">
        <v>49</v>
      </c>
      <c r="E508" t="s">
        <v>36</v>
      </c>
      <c r="F508" t="s">
        <v>27</v>
      </c>
      <c r="G508" t="s">
        <v>28</v>
      </c>
      <c r="H508">
        <v>63</v>
      </c>
      <c r="I508" s="5">
        <v>43171</v>
      </c>
      <c r="J508" s="11">
        <v>73200</v>
      </c>
      <c r="K508" s="6">
        <v>0</v>
      </c>
      <c r="L508" t="s">
        <v>29</v>
      </c>
      <c r="M508" t="s">
        <v>75</v>
      </c>
      <c r="N508" s="5" t="s">
        <v>31</v>
      </c>
      <c r="O508">
        <f>TBL_Employees[[#This Row],[Bonus %]]*TBL_Employees[[#This Row],[Annual Salary]]</f>
        <v>0</v>
      </c>
      <c r="P508" t="str">
        <f>IF(TBL_Employees[[#This Row],[Age]]&gt;50,"Senior","Junior")</f>
        <v>Senior</v>
      </c>
      <c r="Q508" s="14" t="str">
        <f>IF(OR(D508="IT", J508&gt;100000), "YES", "NO")</f>
        <v>NO</v>
      </c>
      <c r="R508" s="14">
        <f>YEAR(TBL_Employees[[#This Row],[Hire Date]])</f>
        <v>2018</v>
      </c>
    </row>
    <row r="509" spans="1:18" x14ac:dyDescent="0.35">
      <c r="A509" t="s">
        <v>1071</v>
      </c>
      <c r="B509" t="s">
        <v>1072</v>
      </c>
      <c r="C509" t="s">
        <v>53</v>
      </c>
      <c r="D509" t="s">
        <v>60</v>
      </c>
      <c r="E509" t="s">
        <v>36</v>
      </c>
      <c r="F509" t="s">
        <v>19</v>
      </c>
      <c r="G509" t="s">
        <v>86</v>
      </c>
      <c r="H509">
        <v>46</v>
      </c>
      <c r="I509" s="5">
        <v>40292</v>
      </c>
      <c r="J509" s="11">
        <v>102636</v>
      </c>
      <c r="K509" s="6">
        <v>0.06</v>
      </c>
      <c r="L509" t="s">
        <v>21</v>
      </c>
      <c r="M509" t="s">
        <v>22</v>
      </c>
      <c r="N509" s="5" t="s">
        <v>31</v>
      </c>
      <c r="O509">
        <f>TBL_Employees[[#This Row],[Bonus %]]*TBL_Employees[[#This Row],[Annual Salary]]</f>
        <v>6158.16</v>
      </c>
      <c r="P509" t="str">
        <f>IF(TBL_Employees[[#This Row],[Age]]&gt;50,"Senior","Junior")</f>
        <v>Junior</v>
      </c>
      <c r="Q509" s="14" t="str">
        <f>IF(OR(D509="IT", J509&gt;100000), "YES", "NO")</f>
        <v>YES</v>
      </c>
      <c r="R509" s="14">
        <f>YEAR(TBL_Employees[[#This Row],[Hire Date]])</f>
        <v>2010</v>
      </c>
    </row>
    <row r="510" spans="1:18" x14ac:dyDescent="0.35">
      <c r="A510" t="s">
        <v>1073</v>
      </c>
      <c r="B510" t="s">
        <v>1074</v>
      </c>
      <c r="C510" t="s">
        <v>295</v>
      </c>
      <c r="D510" t="s">
        <v>49</v>
      </c>
      <c r="E510" t="s">
        <v>36</v>
      </c>
      <c r="F510" t="s">
        <v>19</v>
      </c>
      <c r="G510" t="s">
        <v>86</v>
      </c>
      <c r="H510">
        <v>26</v>
      </c>
      <c r="I510" s="5">
        <v>44236</v>
      </c>
      <c r="J510" s="11">
        <v>87427</v>
      </c>
      <c r="K510" s="6">
        <v>0</v>
      </c>
      <c r="L510" t="s">
        <v>94</v>
      </c>
      <c r="M510" t="s">
        <v>219</v>
      </c>
      <c r="N510" s="5" t="s">
        <v>31</v>
      </c>
      <c r="O510">
        <f>TBL_Employees[[#This Row],[Bonus %]]*TBL_Employees[[#This Row],[Annual Salary]]</f>
        <v>0</v>
      </c>
      <c r="P510" t="str">
        <f>IF(TBL_Employees[[#This Row],[Age]]&gt;50,"Senior","Junior")</f>
        <v>Junior</v>
      </c>
      <c r="Q510" s="14" t="str">
        <f>IF(OR(D510="IT", J510&gt;100000), "YES", "NO")</f>
        <v>NO</v>
      </c>
      <c r="R510" s="14">
        <f>YEAR(TBL_Employees[[#This Row],[Hire Date]])</f>
        <v>2021</v>
      </c>
    </row>
    <row r="511" spans="1:18" x14ac:dyDescent="0.35">
      <c r="A511" t="s">
        <v>1075</v>
      </c>
      <c r="B511" t="s">
        <v>1076</v>
      </c>
      <c r="C511" t="s">
        <v>120</v>
      </c>
      <c r="D511" t="s">
        <v>17</v>
      </c>
      <c r="E511" t="s">
        <v>18</v>
      </c>
      <c r="F511" t="s">
        <v>27</v>
      </c>
      <c r="G511" t="s">
        <v>37</v>
      </c>
      <c r="H511">
        <v>45</v>
      </c>
      <c r="I511" s="5">
        <v>43248</v>
      </c>
      <c r="J511" s="11">
        <v>49219</v>
      </c>
      <c r="K511" s="6">
        <v>0</v>
      </c>
      <c r="L511" t="s">
        <v>21</v>
      </c>
      <c r="M511" t="s">
        <v>89</v>
      </c>
      <c r="N511" s="5" t="s">
        <v>31</v>
      </c>
      <c r="O511">
        <f>TBL_Employees[[#This Row],[Bonus %]]*TBL_Employees[[#This Row],[Annual Salary]]</f>
        <v>0</v>
      </c>
      <c r="P511" t="str">
        <f>IF(TBL_Employees[[#This Row],[Age]]&gt;50,"Senior","Junior")</f>
        <v>Junior</v>
      </c>
      <c r="Q511" s="14" t="str">
        <f>IF(OR(D511="IT", J511&gt;100000), "YES", "NO")</f>
        <v>YES</v>
      </c>
      <c r="R511" s="14">
        <f>YEAR(TBL_Employees[[#This Row],[Hire Date]])</f>
        <v>2018</v>
      </c>
    </row>
    <row r="512" spans="1:18" x14ac:dyDescent="0.35">
      <c r="A512" t="s">
        <v>1077</v>
      </c>
      <c r="B512" t="s">
        <v>625</v>
      </c>
      <c r="C512" t="s">
        <v>53</v>
      </c>
      <c r="D512" t="s">
        <v>35</v>
      </c>
      <c r="E512" t="s">
        <v>26</v>
      </c>
      <c r="F512" t="s">
        <v>27</v>
      </c>
      <c r="G512" t="s">
        <v>28</v>
      </c>
      <c r="H512">
        <v>50</v>
      </c>
      <c r="I512" s="5">
        <v>43239</v>
      </c>
      <c r="J512" s="11">
        <v>106437</v>
      </c>
      <c r="K512" s="6">
        <v>7.0000000000000007E-2</v>
      </c>
      <c r="L512" t="s">
        <v>29</v>
      </c>
      <c r="M512" t="s">
        <v>30</v>
      </c>
      <c r="N512" s="5" t="s">
        <v>31</v>
      </c>
      <c r="O512">
        <f>TBL_Employees[[#This Row],[Bonus %]]*TBL_Employees[[#This Row],[Annual Salary]]</f>
        <v>7450.5900000000011</v>
      </c>
      <c r="P512" t="str">
        <f>IF(TBL_Employees[[#This Row],[Age]]&gt;50,"Senior","Junior")</f>
        <v>Junior</v>
      </c>
      <c r="Q512" s="14" t="str">
        <f>IF(OR(D512="IT", J512&gt;100000), "YES", "NO")</f>
        <v>YES</v>
      </c>
      <c r="R512" s="14">
        <f>YEAR(TBL_Employees[[#This Row],[Hire Date]])</f>
        <v>2018</v>
      </c>
    </row>
    <row r="513" spans="1:18" x14ac:dyDescent="0.35">
      <c r="A513" t="s">
        <v>1078</v>
      </c>
      <c r="B513" t="s">
        <v>1079</v>
      </c>
      <c r="C513" t="s">
        <v>125</v>
      </c>
      <c r="D513" t="s">
        <v>35</v>
      </c>
      <c r="E513" t="s">
        <v>26</v>
      </c>
      <c r="F513" t="s">
        <v>27</v>
      </c>
      <c r="G513" t="s">
        <v>86</v>
      </c>
      <c r="H513">
        <v>46</v>
      </c>
      <c r="I513" s="5">
        <v>42129</v>
      </c>
      <c r="J513" s="11">
        <v>64364</v>
      </c>
      <c r="K513" s="6">
        <v>0</v>
      </c>
      <c r="L513" t="s">
        <v>94</v>
      </c>
      <c r="M513" t="s">
        <v>219</v>
      </c>
      <c r="N513" s="5" t="s">
        <v>31</v>
      </c>
      <c r="O513">
        <f>TBL_Employees[[#This Row],[Bonus %]]*TBL_Employees[[#This Row],[Annual Salary]]</f>
        <v>0</v>
      </c>
      <c r="P513" t="str">
        <f>IF(TBL_Employees[[#This Row],[Age]]&gt;50,"Senior","Junior")</f>
        <v>Junior</v>
      </c>
      <c r="Q513" s="14" t="str">
        <f>IF(OR(D513="IT", J513&gt;100000), "YES", "NO")</f>
        <v>NO</v>
      </c>
      <c r="R513" s="14">
        <f>YEAR(TBL_Employees[[#This Row],[Hire Date]])</f>
        <v>2015</v>
      </c>
    </row>
    <row r="514" spans="1:18" x14ac:dyDescent="0.35">
      <c r="A514" t="s">
        <v>1080</v>
      </c>
      <c r="B514" t="s">
        <v>1081</v>
      </c>
      <c r="C514" t="s">
        <v>34</v>
      </c>
      <c r="D514" t="s">
        <v>66</v>
      </c>
      <c r="E514" t="s">
        <v>26</v>
      </c>
      <c r="F514" t="s">
        <v>27</v>
      </c>
      <c r="G514" t="s">
        <v>37</v>
      </c>
      <c r="H514">
        <v>50</v>
      </c>
      <c r="I514" s="5">
        <v>44486</v>
      </c>
      <c r="J514" s="11">
        <v>172180</v>
      </c>
      <c r="K514" s="6">
        <v>0.3</v>
      </c>
      <c r="L514" t="s">
        <v>21</v>
      </c>
      <c r="M514" t="s">
        <v>89</v>
      </c>
      <c r="N514" s="5" t="s">
        <v>31</v>
      </c>
      <c r="O514">
        <f>TBL_Employees[[#This Row],[Bonus %]]*TBL_Employees[[#This Row],[Annual Salary]]</f>
        <v>51654</v>
      </c>
      <c r="P514" t="str">
        <f>IF(TBL_Employees[[#This Row],[Age]]&gt;50,"Senior","Junior")</f>
        <v>Junior</v>
      </c>
      <c r="Q514" s="14" t="str">
        <f>IF(OR(D514="IT", J514&gt;100000), "YES", "NO")</f>
        <v>YES</v>
      </c>
      <c r="R514" s="14">
        <f>YEAR(TBL_Employees[[#This Row],[Hire Date]])</f>
        <v>2021</v>
      </c>
    </row>
    <row r="515" spans="1:18" x14ac:dyDescent="0.35">
      <c r="A515" t="s">
        <v>1082</v>
      </c>
      <c r="B515" t="s">
        <v>1083</v>
      </c>
      <c r="C515" t="s">
        <v>44</v>
      </c>
      <c r="D515" t="s">
        <v>49</v>
      </c>
      <c r="E515" t="s">
        <v>26</v>
      </c>
      <c r="F515" t="s">
        <v>19</v>
      </c>
      <c r="G515" t="s">
        <v>86</v>
      </c>
      <c r="H515">
        <v>33</v>
      </c>
      <c r="I515" s="5">
        <v>41043</v>
      </c>
      <c r="J515" s="11">
        <v>88343</v>
      </c>
      <c r="K515" s="6">
        <v>0</v>
      </c>
      <c r="L515" t="s">
        <v>94</v>
      </c>
      <c r="M515" t="s">
        <v>100</v>
      </c>
      <c r="N515" s="5" t="s">
        <v>31</v>
      </c>
      <c r="O515">
        <f>TBL_Employees[[#This Row],[Bonus %]]*TBL_Employees[[#This Row],[Annual Salary]]</f>
        <v>0</v>
      </c>
      <c r="P515" t="str">
        <f>IF(TBL_Employees[[#This Row],[Age]]&gt;50,"Senior","Junior")</f>
        <v>Junior</v>
      </c>
      <c r="Q515" s="14" t="str">
        <f>IF(OR(D515="IT", J515&gt;100000), "YES", "NO")</f>
        <v>NO</v>
      </c>
      <c r="R515" s="14">
        <f>YEAR(TBL_Employees[[#This Row],[Hire Date]])</f>
        <v>2012</v>
      </c>
    </row>
    <row r="516" spans="1:18" x14ac:dyDescent="0.35">
      <c r="A516" t="s">
        <v>1084</v>
      </c>
      <c r="B516" t="s">
        <v>1085</v>
      </c>
      <c r="C516" t="s">
        <v>373</v>
      </c>
      <c r="D516" t="s">
        <v>17</v>
      </c>
      <c r="E516" t="s">
        <v>36</v>
      </c>
      <c r="F516" t="s">
        <v>27</v>
      </c>
      <c r="G516" t="s">
        <v>86</v>
      </c>
      <c r="H516">
        <v>57</v>
      </c>
      <c r="I516" s="5">
        <v>41830</v>
      </c>
      <c r="J516" s="11">
        <v>66649</v>
      </c>
      <c r="K516" s="6">
        <v>0</v>
      </c>
      <c r="L516" t="s">
        <v>94</v>
      </c>
      <c r="M516" t="s">
        <v>100</v>
      </c>
      <c r="N516" s="5" t="s">
        <v>31</v>
      </c>
      <c r="O516">
        <f>TBL_Employees[[#This Row],[Bonus %]]*TBL_Employees[[#This Row],[Annual Salary]]</f>
        <v>0</v>
      </c>
      <c r="P516" t="str">
        <f>IF(TBL_Employees[[#This Row],[Age]]&gt;50,"Senior","Junior")</f>
        <v>Senior</v>
      </c>
      <c r="Q516" s="14" t="str">
        <f>IF(OR(D516="IT", J516&gt;100000), "YES", "NO")</f>
        <v>YES</v>
      </c>
      <c r="R516" s="14">
        <f>YEAR(TBL_Employees[[#This Row],[Hire Date]])</f>
        <v>2014</v>
      </c>
    </row>
    <row r="517" spans="1:18" x14ac:dyDescent="0.35">
      <c r="A517" t="s">
        <v>159</v>
      </c>
      <c r="B517" t="s">
        <v>1086</v>
      </c>
      <c r="C517" t="s">
        <v>53</v>
      </c>
      <c r="D517" t="s">
        <v>35</v>
      </c>
      <c r="E517" t="s">
        <v>50</v>
      </c>
      <c r="F517" t="s">
        <v>19</v>
      </c>
      <c r="G517" t="s">
        <v>37</v>
      </c>
      <c r="H517">
        <v>48</v>
      </c>
      <c r="I517" s="5">
        <v>36272</v>
      </c>
      <c r="J517" s="11">
        <v>102847</v>
      </c>
      <c r="K517" s="6">
        <v>0.05</v>
      </c>
      <c r="L517" t="s">
        <v>21</v>
      </c>
      <c r="M517" t="s">
        <v>38</v>
      </c>
      <c r="N517" s="5" t="s">
        <v>31</v>
      </c>
      <c r="O517">
        <f>TBL_Employees[[#This Row],[Bonus %]]*TBL_Employees[[#This Row],[Annual Salary]]</f>
        <v>5142.3500000000004</v>
      </c>
      <c r="P517" t="str">
        <f>IF(TBL_Employees[[#This Row],[Age]]&gt;50,"Senior","Junior")</f>
        <v>Junior</v>
      </c>
      <c r="Q517" s="14" t="str">
        <f>IF(OR(D517="IT", J517&gt;100000), "YES", "NO")</f>
        <v>YES</v>
      </c>
      <c r="R517" s="14">
        <f>YEAR(TBL_Employees[[#This Row],[Hire Date]])</f>
        <v>1999</v>
      </c>
    </row>
    <row r="518" spans="1:18" x14ac:dyDescent="0.35">
      <c r="A518" t="s">
        <v>1087</v>
      </c>
      <c r="B518" t="s">
        <v>1088</v>
      </c>
      <c r="C518" t="s">
        <v>16</v>
      </c>
      <c r="D518" t="s">
        <v>35</v>
      </c>
      <c r="E518" t="s">
        <v>26</v>
      </c>
      <c r="F518" t="s">
        <v>27</v>
      </c>
      <c r="G518" t="s">
        <v>86</v>
      </c>
      <c r="H518">
        <v>46</v>
      </c>
      <c r="I518" s="5">
        <v>40378</v>
      </c>
      <c r="J518" s="11">
        <v>134881</v>
      </c>
      <c r="K518" s="6">
        <v>0.15</v>
      </c>
      <c r="L518" t="s">
        <v>94</v>
      </c>
      <c r="M518" t="s">
        <v>95</v>
      </c>
      <c r="N518" s="5" t="s">
        <v>31</v>
      </c>
      <c r="O518">
        <f>TBL_Employees[[#This Row],[Bonus %]]*TBL_Employees[[#This Row],[Annual Salary]]</f>
        <v>20232.149999999998</v>
      </c>
      <c r="P518" t="str">
        <f>IF(TBL_Employees[[#This Row],[Age]]&gt;50,"Senior","Junior")</f>
        <v>Junior</v>
      </c>
      <c r="Q518" s="14" t="str">
        <f>IF(OR(D518="IT", J518&gt;100000), "YES", "NO")</f>
        <v>YES</v>
      </c>
      <c r="R518" s="14">
        <f>YEAR(TBL_Employees[[#This Row],[Hire Date]])</f>
        <v>2010</v>
      </c>
    </row>
    <row r="519" spans="1:18" x14ac:dyDescent="0.35">
      <c r="A519" t="s">
        <v>1089</v>
      </c>
      <c r="B519" t="s">
        <v>1090</v>
      </c>
      <c r="C519" t="s">
        <v>125</v>
      </c>
      <c r="D519" t="s">
        <v>81</v>
      </c>
      <c r="E519" t="s">
        <v>26</v>
      </c>
      <c r="F519" t="s">
        <v>27</v>
      </c>
      <c r="G519" t="s">
        <v>28</v>
      </c>
      <c r="H519">
        <v>52</v>
      </c>
      <c r="I519" s="5">
        <v>36303</v>
      </c>
      <c r="J519" s="11">
        <v>68807</v>
      </c>
      <c r="K519" s="6">
        <v>0</v>
      </c>
      <c r="L519" t="s">
        <v>29</v>
      </c>
      <c r="M519" t="s">
        <v>135</v>
      </c>
      <c r="N519" s="5">
        <v>42338</v>
      </c>
      <c r="O519">
        <f>TBL_Employees[[#This Row],[Bonus %]]*TBL_Employees[[#This Row],[Annual Salary]]</f>
        <v>0</v>
      </c>
      <c r="P519" t="str">
        <f>IF(TBL_Employees[[#This Row],[Age]]&gt;50,"Senior","Junior")</f>
        <v>Senior</v>
      </c>
      <c r="Q519" s="14" t="str">
        <f>IF(OR(D519="IT", J519&gt;100000), "YES", "NO")</f>
        <v>NO</v>
      </c>
      <c r="R519" s="14">
        <f>YEAR(TBL_Employees[[#This Row],[Hire Date]])</f>
        <v>1999</v>
      </c>
    </row>
    <row r="520" spans="1:18" x14ac:dyDescent="0.35">
      <c r="A520" t="s">
        <v>1091</v>
      </c>
      <c r="B520" t="s">
        <v>1092</v>
      </c>
      <c r="C520" t="s">
        <v>80</v>
      </c>
      <c r="D520" t="s">
        <v>17</v>
      </c>
      <c r="E520" t="s">
        <v>26</v>
      </c>
      <c r="F520" t="s">
        <v>27</v>
      </c>
      <c r="G520" t="s">
        <v>37</v>
      </c>
      <c r="H520">
        <v>56</v>
      </c>
      <c r="I520" s="5">
        <v>38866</v>
      </c>
      <c r="J520" s="11">
        <v>228822</v>
      </c>
      <c r="K520" s="6">
        <v>0.36</v>
      </c>
      <c r="L520" t="s">
        <v>21</v>
      </c>
      <c r="M520" t="s">
        <v>57</v>
      </c>
      <c r="N520" s="5" t="s">
        <v>31</v>
      </c>
      <c r="O520">
        <f>TBL_Employees[[#This Row],[Bonus %]]*TBL_Employees[[#This Row],[Annual Salary]]</f>
        <v>82375.92</v>
      </c>
      <c r="P520" t="str">
        <f>IF(TBL_Employees[[#This Row],[Age]]&gt;50,"Senior","Junior")</f>
        <v>Senior</v>
      </c>
      <c r="Q520" s="14" t="str">
        <f>IF(OR(D520="IT", J520&gt;100000), "YES", "NO")</f>
        <v>YES</v>
      </c>
      <c r="R520" s="14">
        <f>YEAR(TBL_Employees[[#This Row],[Hire Date]])</f>
        <v>2006</v>
      </c>
    </row>
    <row r="521" spans="1:18" x14ac:dyDescent="0.35">
      <c r="A521" t="s">
        <v>1093</v>
      </c>
      <c r="B521" t="s">
        <v>1094</v>
      </c>
      <c r="C521" t="s">
        <v>56</v>
      </c>
      <c r="D521" t="s">
        <v>81</v>
      </c>
      <c r="E521" t="s">
        <v>26</v>
      </c>
      <c r="F521" t="s">
        <v>27</v>
      </c>
      <c r="G521" t="s">
        <v>37</v>
      </c>
      <c r="H521">
        <v>28</v>
      </c>
      <c r="I521" s="5">
        <v>44395</v>
      </c>
      <c r="J521" s="11">
        <v>43391</v>
      </c>
      <c r="K521" s="6">
        <v>0</v>
      </c>
      <c r="L521" t="s">
        <v>21</v>
      </c>
      <c r="M521" t="s">
        <v>89</v>
      </c>
      <c r="N521" s="5" t="s">
        <v>31</v>
      </c>
      <c r="O521">
        <f>TBL_Employees[[#This Row],[Bonus %]]*TBL_Employees[[#This Row],[Annual Salary]]</f>
        <v>0</v>
      </c>
      <c r="P521" t="str">
        <f>IF(TBL_Employees[[#This Row],[Age]]&gt;50,"Senior","Junior")</f>
        <v>Junior</v>
      </c>
      <c r="Q521" s="14" t="str">
        <f>IF(OR(D521="IT", J521&gt;100000), "YES", "NO")</f>
        <v>NO</v>
      </c>
      <c r="R521" s="14">
        <f>YEAR(TBL_Employees[[#This Row],[Hire Date]])</f>
        <v>2021</v>
      </c>
    </row>
    <row r="522" spans="1:18" x14ac:dyDescent="0.35">
      <c r="A522" t="s">
        <v>1095</v>
      </c>
      <c r="B522" t="s">
        <v>1096</v>
      </c>
      <c r="C522" t="s">
        <v>109</v>
      </c>
      <c r="D522" t="s">
        <v>70</v>
      </c>
      <c r="E522" t="s">
        <v>36</v>
      </c>
      <c r="F522" t="s">
        <v>27</v>
      </c>
      <c r="G522" t="s">
        <v>28</v>
      </c>
      <c r="H522">
        <v>29</v>
      </c>
      <c r="I522" s="5">
        <v>44515</v>
      </c>
      <c r="J522" s="11">
        <v>91782</v>
      </c>
      <c r="K522" s="6">
        <v>0</v>
      </c>
      <c r="L522" t="s">
        <v>29</v>
      </c>
      <c r="M522" t="s">
        <v>30</v>
      </c>
      <c r="N522" s="5" t="s">
        <v>31</v>
      </c>
      <c r="O522">
        <f>TBL_Employees[[#This Row],[Bonus %]]*TBL_Employees[[#This Row],[Annual Salary]]</f>
        <v>0</v>
      </c>
      <c r="P522" t="str">
        <f>IF(TBL_Employees[[#This Row],[Age]]&gt;50,"Senior","Junior")</f>
        <v>Junior</v>
      </c>
      <c r="Q522" s="14" t="str">
        <f>IF(OR(D522="IT", J522&gt;100000), "YES", "NO")</f>
        <v>NO</v>
      </c>
      <c r="R522" s="14">
        <f>YEAR(TBL_Employees[[#This Row],[Hire Date]])</f>
        <v>2021</v>
      </c>
    </row>
    <row r="523" spans="1:18" x14ac:dyDescent="0.35">
      <c r="A523" t="s">
        <v>1097</v>
      </c>
      <c r="B523" t="s">
        <v>1098</v>
      </c>
      <c r="C523" t="s">
        <v>80</v>
      </c>
      <c r="D523" t="s">
        <v>81</v>
      </c>
      <c r="E523" t="s">
        <v>50</v>
      </c>
      <c r="F523" t="s">
        <v>19</v>
      </c>
      <c r="G523" t="s">
        <v>28</v>
      </c>
      <c r="H523">
        <v>45</v>
      </c>
      <c r="I523" s="5">
        <v>42428</v>
      </c>
      <c r="J523" s="11">
        <v>211637</v>
      </c>
      <c r="K523" s="6">
        <v>0.31</v>
      </c>
      <c r="L523" t="s">
        <v>21</v>
      </c>
      <c r="M523" t="s">
        <v>38</v>
      </c>
      <c r="N523" s="5" t="s">
        <v>31</v>
      </c>
      <c r="O523">
        <f>TBL_Employees[[#This Row],[Bonus %]]*TBL_Employees[[#This Row],[Annual Salary]]</f>
        <v>65607.47</v>
      </c>
      <c r="P523" t="str">
        <f>IF(TBL_Employees[[#This Row],[Age]]&gt;50,"Senior","Junior")</f>
        <v>Junior</v>
      </c>
      <c r="Q523" s="14" t="str">
        <f>IF(OR(D523="IT", J523&gt;100000), "YES", "NO")</f>
        <v>YES</v>
      </c>
      <c r="R523" s="14">
        <f>YEAR(TBL_Employees[[#This Row],[Hire Date]])</f>
        <v>2016</v>
      </c>
    </row>
    <row r="524" spans="1:18" x14ac:dyDescent="0.35">
      <c r="A524" t="s">
        <v>211</v>
      </c>
      <c r="B524" t="s">
        <v>1099</v>
      </c>
      <c r="C524" t="s">
        <v>41</v>
      </c>
      <c r="D524" t="s">
        <v>17</v>
      </c>
      <c r="E524" t="s">
        <v>26</v>
      </c>
      <c r="F524" t="s">
        <v>27</v>
      </c>
      <c r="G524" t="s">
        <v>37</v>
      </c>
      <c r="H524">
        <v>28</v>
      </c>
      <c r="I524" s="5">
        <v>44051</v>
      </c>
      <c r="J524" s="11">
        <v>73255</v>
      </c>
      <c r="K524" s="6">
        <v>0.09</v>
      </c>
      <c r="L524" t="s">
        <v>21</v>
      </c>
      <c r="M524" t="s">
        <v>45</v>
      </c>
      <c r="N524" s="5" t="s">
        <v>31</v>
      </c>
      <c r="O524">
        <f>TBL_Employees[[#This Row],[Bonus %]]*TBL_Employees[[#This Row],[Annual Salary]]</f>
        <v>6592.95</v>
      </c>
      <c r="P524" t="str">
        <f>IF(TBL_Employees[[#This Row],[Age]]&gt;50,"Senior","Junior")</f>
        <v>Junior</v>
      </c>
      <c r="Q524" s="14" t="str">
        <f>IF(OR(D524="IT", J524&gt;100000), "YES", "NO")</f>
        <v>YES</v>
      </c>
      <c r="R524" s="14">
        <f>YEAR(TBL_Employees[[#This Row],[Hire Date]])</f>
        <v>2020</v>
      </c>
    </row>
    <row r="525" spans="1:18" x14ac:dyDescent="0.35">
      <c r="A525" t="s">
        <v>1100</v>
      </c>
      <c r="B525" t="s">
        <v>1101</v>
      </c>
      <c r="C525" t="s">
        <v>53</v>
      </c>
      <c r="D525" t="s">
        <v>49</v>
      </c>
      <c r="E525" t="s">
        <v>50</v>
      </c>
      <c r="F525" t="s">
        <v>27</v>
      </c>
      <c r="G525" t="s">
        <v>37</v>
      </c>
      <c r="H525">
        <v>28</v>
      </c>
      <c r="I525" s="5">
        <v>44204</v>
      </c>
      <c r="J525" s="11">
        <v>108826</v>
      </c>
      <c r="K525" s="6">
        <v>0.1</v>
      </c>
      <c r="L525" t="s">
        <v>21</v>
      </c>
      <c r="M525" t="s">
        <v>57</v>
      </c>
      <c r="N525" s="5" t="s">
        <v>31</v>
      </c>
      <c r="O525">
        <f>TBL_Employees[[#This Row],[Bonus %]]*TBL_Employees[[#This Row],[Annual Salary]]</f>
        <v>10882.6</v>
      </c>
      <c r="P525" t="str">
        <f>IF(TBL_Employees[[#This Row],[Age]]&gt;50,"Senior","Junior")</f>
        <v>Junior</v>
      </c>
      <c r="Q525" s="14" t="str">
        <f>IF(OR(D525="IT", J525&gt;100000), "YES", "NO")</f>
        <v>YES</v>
      </c>
      <c r="R525" s="14">
        <f>YEAR(TBL_Employees[[#This Row],[Hire Date]])</f>
        <v>2021</v>
      </c>
    </row>
    <row r="526" spans="1:18" x14ac:dyDescent="0.35">
      <c r="A526" t="s">
        <v>1102</v>
      </c>
      <c r="B526" t="s">
        <v>1103</v>
      </c>
      <c r="C526" t="s">
        <v>373</v>
      </c>
      <c r="D526" t="s">
        <v>17</v>
      </c>
      <c r="E526" t="s">
        <v>36</v>
      </c>
      <c r="F526" t="s">
        <v>27</v>
      </c>
      <c r="G526" t="s">
        <v>37</v>
      </c>
      <c r="H526">
        <v>34</v>
      </c>
      <c r="I526" s="5">
        <v>42514</v>
      </c>
      <c r="J526" s="11">
        <v>94352</v>
      </c>
      <c r="K526" s="6">
        <v>0</v>
      </c>
      <c r="L526" t="s">
        <v>21</v>
      </c>
      <c r="M526" t="s">
        <v>57</v>
      </c>
      <c r="N526" s="5" t="s">
        <v>31</v>
      </c>
      <c r="O526">
        <f>TBL_Employees[[#This Row],[Bonus %]]*TBL_Employees[[#This Row],[Annual Salary]]</f>
        <v>0</v>
      </c>
      <c r="P526" t="str">
        <f>IF(TBL_Employees[[#This Row],[Age]]&gt;50,"Senior","Junior")</f>
        <v>Junior</v>
      </c>
      <c r="Q526" s="14" t="str">
        <f>IF(OR(D526="IT", J526&gt;100000), "YES", "NO")</f>
        <v>YES</v>
      </c>
      <c r="R526" s="14">
        <f>YEAR(TBL_Employees[[#This Row],[Hire Date]])</f>
        <v>2016</v>
      </c>
    </row>
    <row r="527" spans="1:18" x14ac:dyDescent="0.35">
      <c r="A527" t="s">
        <v>1104</v>
      </c>
      <c r="B527" t="s">
        <v>1105</v>
      </c>
      <c r="C527" t="s">
        <v>443</v>
      </c>
      <c r="D527" t="s">
        <v>17</v>
      </c>
      <c r="E527" t="s">
        <v>18</v>
      </c>
      <c r="F527" t="s">
        <v>19</v>
      </c>
      <c r="G527" t="s">
        <v>86</v>
      </c>
      <c r="H527">
        <v>55</v>
      </c>
      <c r="I527" s="5">
        <v>34576</v>
      </c>
      <c r="J527" s="11">
        <v>73955</v>
      </c>
      <c r="K527" s="6">
        <v>0</v>
      </c>
      <c r="L527" t="s">
        <v>21</v>
      </c>
      <c r="M527" t="s">
        <v>45</v>
      </c>
      <c r="N527" s="5" t="s">
        <v>31</v>
      </c>
      <c r="O527">
        <f>TBL_Employees[[#This Row],[Bonus %]]*TBL_Employees[[#This Row],[Annual Salary]]</f>
        <v>0</v>
      </c>
      <c r="P527" t="str">
        <f>IF(TBL_Employees[[#This Row],[Age]]&gt;50,"Senior","Junior")</f>
        <v>Senior</v>
      </c>
      <c r="Q527" s="14" t="str">
        <f>IF(OR(D527="IT", J527&gt;100000), "YES", "NO")</f>
        <v>YES</v>
      </c>
      <c r="R527" s="14">
        <f>YEAR(TBL_Employees[[#This Row],[Hire Date]])</f>
        <v>1994</v>
      </c>
    </row>
    <row r="528" spans="1:18" x14ac:dyDescent="0.35">
      <c r="A528" t="s">
        <v>1106</v>
      </c>
      <c r="B528" t="s">
        <v>1107</v>
      </c>
      <c r="C528" t="s">
        <v>53</v>
      </c>
      <c r="D528" t="s">
        <v>66</v>
      </c>
      <c r="E528" t="s">
        <v>26</v>
      </c>
      <c r="F528" t="s">
        <v>27</v>
      </c>
      <c r="G528" t="s">
        <v>86</v>
      </c>
      <c r="H528">
        <v>34</v>
      </c>
      <c r="I528" s="5">
        <v>41499</v>
      </c>
      <c r="J528" s="11">
        <v>113909</v>
      </c>
      <c r="K528" s="6">
        <v>0.06</v>
      </c>
      <c r="L528" t="s">
        <v>94</v>
      </c>
      <c r="M528" t="s">
        <v>100</v>
      </c>
      <c r="N528" s="5" t="s">
        <v>31</v>
      </c>
      <c r="O528">
        <f>TBL_Employees[[#This Row],[Bonus %]]*TBL_Employees[[#This Row],[Annual Salary]]</f>
        <v>6834.54</v>
      </c>
      <c r="P528" t="str">
        <f>IF(TBL_Employees[[#This Row],[Age]]&gt;50,"Senior","Junior")</f>
        <v>Junior</v>
      </c>
      <c r="Q528" s="14" t="str">
        <f>IF(OR(D528="IT", J528&gt;100000), "YES", "NO")</f>
        <v>YES</v>
      </c>
      <c r="R528" s="14">
        <f>YEAR(TBL_Employees[[#This Row],[Hire Date]])</f>
        <v>2013</v>
      </c>
    </row>
    <row r="529" spans="1:18" x14ac:dyDescent="0.35">
      <c r="A529" t="s">
        <v>1108</v>
      </c>
      <c r="B529" t="s">
        <v>1109</v>
      </c>
      <c r="C529" t="s">
        <v>486</v>
      </c>
      <c r="D529" t="s">
        <v>17</v>
      </c>
      <c r="E529" t="s">
        <v>26</v>
      </c>
      <c r="F529" t="s">
        <v>27</v>
      </c>
      <c r="G529" t="s">
        <v>28</v>
      </c>
      <c r="H529">
        <v>27</v>
      </c>
      <c r="I529" s="5">
        <v>44189</v>
      </c>
      <c r="J529" s="11">
        <v>92321</v>
      </c>
      <c r="K529" s="6">
        <v>0</v>
      </c>
      <c r="L529" t="s">
        <v>21</v>
      </c>
      <c r="M529" t="s">
        <v>38</v>
      </c>
      <c r="N529" s="5" t="s">
        <v>31</v>
      </c>
      <c r="O529">
        <f>TBL_Employees[[#This Row],[Bonus %]]*TBL_Employees[[#This Row],[Annual Salary]]</f>
        <v>0</v>
      </c>
      <c r="P529" t="str">
        <f>IF(TBL_Employees[[#This Row],[Age]]&gt;50,"Senior","Junior")</f>
        <v>Junior</v>
      </c>
      <c r="Q529" s="14" t="str">
        <f>IF(OR(D529="IT", J529&gt;100000), "YES", "NO")</f>
        <v>YES</v>
      </c>
      <c r="R529" s="14">
        <f>YEAR(TBL_Employees[[#This Row],[Hire Date]])</f>
        <v>2020</v>
      </c>
    </row>
    <row r="530" spans="1:18" x14ac:dyDescent="0.35">
      <c r="A530" t="s">
        <v>1047</v>
      </c>
      <c r="B530" t="s">
        <v>1110</v>
      </c>
      <c r="C530" t="s">
        <v>41</v>
      </c>
      <c r="D530" t="s">
        <v>17</v>
      </c>
      <c r="E530" t="s">
        <v>18</v>
      </c>
      <c r="F530" t="s">
        <v>27</v>
      </c>
      <c r="G530" t="s">
        <v>37</v>
      </c>
      <c r="H530">
        <v>52</v>
      </c>
      <c r="I530" s="5">
        <v>41417</v>
      </c>
      <c r="J530" s="11">
        <v>99557</v>
      </c>
      <c r="K530" s="6">
        <v>0.09</v>
      </c>
      <c r="L530" t="s">
        <v>21</v>
      </c>
      <c r="M530" t="s">
        <v>22</v>
      </c>
      <c r="N530" s="5" t="s">
        <v>31</v>
      </c>
      <c r="O530">
        <f>TBL_Employees[[#This Row],[Bonus %]]*TBL_Employees[[#This Row],[Annual Salary]]</f>
        <v>8960.1299999999992</v>
      </c>
      <c r="P530" t="str">
        <f>IF(TBL_Employees[[#This Row],[Age]]&gt;50,"Senior","Junior")</f>
        <v>Senior</v>
      </c>
      <c r="Q530" s="14" t="str">
        <f>IF(OR(D530="IT", J530&gt;100000), "YES", "NO")</f>
        <v>YES</v>
      </c>
      <c r="R530" s="14">
        <f>YEAR(TBL_Employees[[#This Row],[Hire Date]])</f>
        <v>2013</v>
      </c>
    </row>
    <row r="531" spans="1:18" x14ac:dyDescent="0.35">
      <c r="A531" t="s">
        <v>1111</v>
      </c>
      <c r="B531" t="s">
        <v>1112</v>
      </c>
      <c r="C531" t="s">
        <v>179</v>
      </c>
      <c r="D531" t="s">
        <v>70</v>
      </c>
      <c r="E531" t="s">
        <v>36</v>
      </c>
      <c r="F531" t="s">
        <v>19</v>
      </c>
      <c r="G531" t="s">
        <v>37</v>
      </c>
      <c r="H531">
        <v>28</v>
      </c>
      <c r="I531" s="5">
        <v>43418</v>
      </c>
      <c r="J531" s="11">
        <v>115854</v>
      </c>
      <c r="K531" s="6">
        <v>0</v>
      </c>
      <c r="L531" t="s">
        <v>21</v>
      </c>
      <c r="M531" t="s">
        <v>45</v>
      </c>
      <c r="N531" s="5" t="s">
        <v>31</v>
      </c>
      <c r="O531">
        <f>TBL_Employees[[#This Row],[Bonus %]]*TBL_Employees[[#This Row],[Annual Salary]]</f>
        <v>0</v>
      </c>
      <c r="P531" t="str">
        <f>IF(TBL_Employees[[#This Row],[Age]]&gt;50,"Senior","Junior")</f>
        <v>Junior</v>
      </c>
      <c r="Q531" s="14" t="str">
        <f>IF(OR(D531="IT", J531&gt;100000), "YES", "NO")</f>
        <v>YES</v>
      </c>
      <c r="R531" s="14">
        <f>YEAR(TBL_Employees[[#This Row],[Hire Date]])</f>
        <v>2018</v>
      </c>
    </row>
    <row r="532" spans="1:18" x14ac:dyDescent="0.35">
      <c r="A532" t="s">
        <v>1113</v>
      </c>
      <c r="B532" t="s">
        <v>1114</v>
      </c>
      <c r="C532" t="s">
        <v>443</v>
      </c>
      <c r="D532" t="s">
        <v>17</v>
      </c>
      <c r="E532" t="s">
        <v>26</v>
      </c>
      <c r="F532" t="s">
        <v>19</v>
      </c>
      <c r="G532" t="s">
        <v>86</v>
      </c>
      <c r="H532">
        <v>44</v>
      </c>
      <c r="I532" s="5">
        <v>40603</v>
      </c>
      <c r="J532" s="11">
        <v>82462</v>
      </c>
      <c r="K532" s="6">
        <v>0</v>
      </c>
      <c r="L532" t="s">
        <v>21</v>
      </c>
      <c r="M532" t="s">
        <v>61</v>
      </c>
      <c r="N532" s="5" t="s">
        <v>31</v>
      </c>
      <c r="O532">
        <f>TBL_Employees[[#This Row],[Bonus %]]*TBL_Employees[[#This Row],[Annual Salary]]</f>
        <v>0</v>
      </c>
      <c r="P532" t="str">
        <f>IF(TBL_Employees[[#This Row],[Age]]&gt;50,"Senior","Junior")</f>
        <v>Junior</v>
      </c>
      <c r="Q532" s="14" t="str">
        <f>IF(OR(D532="IT", J532&gt;100000), "YES", "NO")</f>
        <v>YES</v>
      </c>
      <c r="R532" s="14">
        <f>YEAR(TBL_Employees[[#This Row],[Hire Date]])</f>
        <v>2011</v>
      </c>
    </row>
    <row r="533" spans="1:18" x14ac:dyDescent="0.35">
      <c r="A533" t="s">
        <v>1115</v>
      </c>
      <c r="B533" t="s">
        <v>1116</v>
      </c>
      <c r="C533" t="s">
        <v>80</v>
      </c>
      <c r="D533" t="s">
        <v>17</v>
      </c>
      <c r="E533" t="s">
        <v>18</v>
      </c>
      <c r="F533" t="s">
        <v>19</v>
      </c>
      <c r="G533" t="s">
        <v>37</v>
      </c>
      <c r="H533">
        <v>53</v>
      </c>
      <c r="I533" s="5">
        <v>40856</v>
      </c>
      <c r="J533" s="11">
        <v>198473</v>
      </c>
      <c r="K533" s="6">
        <v>0.32</v>
      </c>
      <c r="L533" t="s">
        <v>21</v>
      </c>
      <c r="M533" t="s">
        <v>57</v>
      </c>
      <c r="N533" s="5" t="s">
        <v>31</v>
      </c>
      <c r="O533">
        <f>TBL_Employees[[#This Row],[Bonus %]]*TBL_Employees[[#This Row],[Annual Salary]]</f>
        <v>63511.360000000001</v>
      </c>
      <c r="P533" t="str">
        <f>IF(TBL_Employees[[#This Row],[Age]]&gt;50,"Senior","Junior")</f>
        <v>Senior</v>
      </c>
      <c r="Q533" s="14" t="str">
        <f>IF(OR(D533="IT", J533&gt;100000), "YES", "NO")</f>
        <v>YES</v>
      </c>
      <c r="R533" s="14">
        <f>YEAR(TBL_Employees[[#This Row],[Hire Date]])</f>
        <v>2011</v>
      </c>
    </row>
    <row r="534" spans="1:18" x14ac:dyDescent="0.35">
      <c r="A534" t="s">
        <v>1117</v>
      </c>
      <c r="B534" t="s">
        <v>1118</v>
      </c>
      <c r="C534" t="s">
        <v>16</v>
      </c>
      <c r="D534" t="s">
        <v>35</v>
      </c>
      <c r="E534" t="s">
        <v>50</v>
      </c>
      <c r="F534" t="s">
        <v>19</v>
      </c>
      <c r="G534" t="s">
        <v>28</v>
      </c>
      <c r="H534">
        <v>43</v>
      </c>
      <c r="I534" s="5">
        <v>39005</v>
      </c>
      <c r="J534" s="11">
        <v>153492</v>
      </c>
      <c r="K534" s="6">
        <v>0.11</v>
      </c>
      <c r="L534" t="s">
        <v>21</v>
      </c>
      <c r="M534" t="s">
        <v>38</v>
      </c>
      <c r="N534" s="5" t="s">
        <v>31</v>
      </c>
      <c r="O534">
        <f>TBL_Employees[[#This Row],[Bonus %]]*TBL_Employees[[#This Row],[Annual Salary]]</f>
        <v>16884.12</v>
      </c>
      <c r="P534" t="str">
        <f>IF(TBL_Employees[[#This Row],[Age]]&gt;50,"Senior","Junior")</f>
        <v>Junior</v>
      </c>
      <c r="Q534" s="14" t="str">
        <f>IF(OR(D534="IT", J534&gt;100000), "YES", "NO")</f>
        <v>YES</v>
      </c>
      <c r="R534" s="14">
        <f>YEAR(TBL_Employees[[#This Row],[Hire Date]])</f>
        <v>2006</v>
      </c>
    </row>
    <row r="535" spans="1:18" x14ac:dyDescent="0.35">
      <c r="A535" t="s">
        <v>1119</v>
      </c>
      <c r="B535" t="s">
        <v>1120</v>
      </c>
      <c r="C535" t="s">
        <v>80</v>
      </c>
      <c r="D535" t="s">
        <v>66</v>
      </c>
      <c r="E535" t="s">
        <v>50</v>
      </c>
      <c r="F535" t="s">
        <v>19</v>
      </c>
      <c r="G535" t="s">
        <v>20</v>
      </c>
      <c r="H535">
        <v>28</v>
      </c>
      <c r="I535" s="5">
        <v>43121</v>
      </c>
      <c r="J535" s="11">
        <v>208210</v>
      </c>
      <c r="K535" s="6">
        <v>0.3</v>
      </c>
      <c r="L535" t="s">
        <v>21</v>
      </c>
      <c r="M535" t="s">
        <v>22</v>
      </c>
      <c r="N535" s="5" t="s">
        <v>31</v>
      </c>
      <c r="O535">
        <f>TBL_Employees[[#This Row],[Bonus %]]*TBL_Employees[[#This Row],[Annual Salary]]</f>
        <v>62463</v>
      </c>
      <c r="P535" t="str">
        <f>IF(TBL_Employees[[#This Row],[Age]]&gt;50,"Senior","Junior")</f>
        <v>Junior</v>
      </c>
      <c r="Q535" s="14" t="str">
        <f>IF(OR(D535="IT", J535&gt;100000), "YES", "NO")</f>
        <v>YES</v>
      </c>
      <c r="R535" s="14">
        <f>YEAR(TBL_Employees[[#This Row],[Hire Date]])</f>
        <v>2018</v>
      </c>
    </row>
    <row r="536" spans="1:18" x14ac:dyDescent="0.35">
      <c r="A536" t="s">
        <v>1121</v>
      </c>
      <c r="B536" t="s">
        <v>1122</v>
      </c>
      <c r="C536" t="s">
        <v>44</v>
      </c>
      <c r="D536" t="s">
        <v>81</v>
      </c>
      <c r="E536" t="s">
        <v>50</v>
      </c>
      <c r="F536" t="s">
        <v>27</v>
      </c>
      <c r="G536" t="s">
        <v>37</v>
      </c>
      <c r="H536">
        <v>33</v>
      </c>
      <c r="I536" s="5">
        <v>42325</v>
      </c>
      <c r="J536" s="11">
        <v>91632</v>
      </c>
      <c r="K536" s="6">
        <v>0</v>
      </c>
      <c r="L536" t="s">
        <v>21</v>
      </c>
      <c r="M536" t="s">
        <v>45</v>
      </c>
      <c r="N536" s="5" t="s">
        <v>31</v>
      </c>
      <c r="O536">
        <f>TBL_Employees[[#This Row],[Bonus %]]*TBL_Employees[[#This Row],[Annual Salary]]</f>
        <v>0</v>
      </c>
      <c r="P536" t="str">
        <f>IF(TBL_Employees[[#This Row],[Age]]&gt;50,"Senior","Junior")</f>
        <v>Junior</v>
      </c>
      <c r="Q536" s="14" t="str">
        <f>IF(OR(D536="IT", J536&gt;100000), "YES", "NO")</f>
        <v>NO</v>
      </c>
      <c r="R536" s="14">
        <f>YEAR(TBL_Employees[[#This Row],[Hire Date]])</f>
        <v>2015</v>
      </c>
    </row>
    <row r="537" spans="1:18" x14ac:dyDescent="0.35">
      <c r="A537" t="s">
        <v>1123</v>
      </c>
      <c r="B537" t="s">
        <v>1124</v>
      </c>
      <c r="C537" t="s">
        <v>165</v>
      </c>
      <c r="D537" t="s">
        <v>66</v>
      </c>
      <c r="E537" t="s">
        <v>50</v>
      </c>
      <c r="F537" t="s">
        <v>27</v>
      </c>
      <c r="G537" t="s">
        <v>28</v>
      </c>
      <c r="H537">
        <v>31</v>
      </c>
      <c r="I537" s="5">
        <v>43002</v>
      </c>
      <c r="J537" s="11">
        <v>71755</v>
      </c>
      <c r="K537" s="6">
        <v>0</v>
      </c>
      <c r="L537" t="s">
        <v>29</v>
      </c>
      <c r="M537" t="s">
        <v>30</v>
      </c>
      <c r="N537" s="5" t="s">
        <v>31</v>
      </c>
      <c r="O537">
        <f>TBL_Employees[[#This Row],[Bonus %]]*TBL_Employees[[#This Row],[Annual Salary]]</f>
        <v>0</v>
      </c>
      <c r="P537" t="str">
        <f>IF(TBL_Employees[[#This Row],[Age]]&gt;50,"Senior","Junior")</f>
        <v>Junior</v>
      </c>
      <c r="Q537" s="14" t="str">
        <f>IF(OR(D537="IT", J537&gt;100000), "YES", "NO")</f>
        <v>NO</v>
      </c>
      <c r="R537" s="14">
        <f>YEAR(TBL_Employees[[#This Row],[Hire Date]])</f>
        <v>2017</v>
      </c>
    </row>
    <row r="538" spans="1:18" x14ac:dyDescent="0.35">
      <c r="A538" t="s">
        <v>1125</v>
      </c>
      <c r="B538" t="s">
        <v>1126</v>
      </c>
      <c r="C538" t="s">
        <v>53</v>
      </c>
      <c r="D538" t="s">
        <v>60</v>
      </c>
      <c r="E538" t="s">
        <v>50</v>
      </c>
      <c r="F538" t="s">
        <v>19</v>
      </c>
      <c r="G538" t="s">
        <v>28</v>
      </c>
      <c r="H538">
        <v>52</v>
      </c>
      <c r="I538" s="5">
        <v>44519</v>
      </c>
      <c r="J538" s="11">
        <v>111006</v>
      </c>
      <c r="K538" s="6">
        <v>0.08</v>
      </c>
      <c r="L538" t="s">
        <v>29</v>
      </c>
      <c r="M538" t="s">
        <v>30</v>
      </c>
      <c r="N538" s="5" t="s">
        <v>31</v>
      </c>
      <c r="O538">
        <f>TBL_Employees[[#This Row],[Bonus %]]*TBL_Employees[[#This Row],[Annual Salary]]</f>
        <v>8880.48</v>
      </c>
      <c r="P538" t="str">
        <f>IF(TBL_Employees[[#This Row],[Age]]&gt;50,"Senior","Junior")</f>
        <v>Senior</v>
      </c>
      <c r="Q538" s="14" t="str">
        <f>IF(OR(D538="IT", J538&gt;100000), "YES", "NO")</f>
        <v>YES</v>
      </c>
      <c r="R538" s="14">
        <f>YEAR(TBL_Employees[[#This Row],[Hire Date]])</f>
        <v>2021</v>
      </c>
    </row>
    <row r="539" spans="1:18" x14ac:dyDescent="0.35">
      <c r="A539" t="s">
        <v>1127</v>
      </c>
      <c r="B539" t="s">
        <v>1128</v>
      </c>
      <c r="C539" t="s">
        <v>208</v>
      </c>
      <c r="D539" t="s">
        <v>17</v>
      </c>
      <c r="E539" t="s">
        <v>50</v>
      </c>
      <c r="F539" t="s">
        <v>27</v>
      </c>
      <c r="G539" t="s">
        <v>28</v>
      </c>
      <c r="H539">
        <v>55</v>
      </c>
      <c r="I539" s="5">
        <v>34692</v>
      </c>
      <c r="J539" s="11">
        <v>99774</v>
      </c>
      <c r="K539" s="6">
        <v>0</v>
      </c>
      <c r="L539" t="s">
        <v>21</v>
      </c>
      <c r="M539" t="s">
        <v>61</v>
      </c>
      <c r="N539" s="5" t="s">
        <v>31</v>
      </c>
      <c r="O539">
        <f>TBL_Employees[[#This Row],[Bonus %]]*TBL_Employees[[#This Row],[Annual Salary]]</f>
        <v>0</v>
      </c>
      <c r="P539" t="str">
        <f>IF(TBL_Employees[[#This Row],[Age]]&gt;50,"Senior","Junior")</f>
        <v>Senior</v>
      </c>
      <c r="Q539" s="14" t="str">
        <f>IF(OR(D539="IT", J539&gt;100000), "YES", "NO")</f>
        <v>YES</v>
      </c>
      <c r="R539" s="14">
        <f>YEAR(TBL_Employees[[#This Row],[Hire Date]])</f>
        <v>1994</v>
      </c>
    </row>
    <row r="540" spans="1:18" x14ac:dyDescent="0.35">
      <c r="A540" t="s">
        <v>1129</v>
      </c>
      <c r="B540" t="s">
        <v>1130</v>
      </c>
      <c r="C540" t="s">
        <v>34</v>
      </c>
      <c r="D540" t="s">
        <v>17</v>
      </c>
      <c r="E540" t="s">
        <v>18</v>
      </c>
      <c r="F540" t="s">
        <v>27</v>
      </c>
      <c r="G540" t="s">
        <v>28</v>
      </c>
      <c r="H540">
        <v>55</v>
      </c>
      <c r="I540" s="5">
        <v>39154</v>
      </c>
      <c r="J540" s="11">
        <v>184648</v>
      </c>
      <c r="K540" s="6">
        <v>0.24</v>
      </c>
      <c r="L540" t="s">
        <v>29</v>
      </c>
      <c r="M540" t="s">
        <v>75</v>
      </c>
      <c r="N540" s="5" t="s">
        <v>31</v>
      </c>
      <c r="O540">
        <f>TBL_Employees[[#This Row],[Bonus %]]*TBL_Employees[[#This Row],[Annual Salary]]</f>
        <v>44315.519999999997</v>
      </c>
      <c r="P540" t="str">
        <f>IF(TBL_Employees[[#This Row],[Age]]&gt;50,"Senior","Junior")</f>
        <v>Senior</v>
      </c>
      <c r="Q540" s="14" t="str">
        <f>IF(OR(D540="IT", J540&gt;100000), "YES", "NO")</f>
        <v>YES</v>
      </c>
      <c r="R540" s="14">
        <f>YEAR(TBL_Employees[[#This Row],[Hire Date]])</f>
        <v>2007</v>
      </c>
    </row>
    <row r="541" spans="1:18" x14ac:dyDescent="0.35">
      <c r="A541" t="s">
        <v>1131</v>
      </c>
      <c r="B541" t="s">
        <v>1132</v>
      </c>
      <c r="C541" t="s">
        <v>80</v>
      </c>
      <c r="D541" t="s">
        <v>17</v>
      </c>
      <c r="E541" t="s">
        <v>26</v>
      </c>
      <c r="F541" t="s">
        <v>27</v>
      </c>
      <c r="G541" t="s">
        <v>86</v>
      </c>
      <c r="H541">
        <v>51</v>
      </c>
      <c r="I541" s="5">
        <v>37091</v>
      </c>
      <c r="J541" s="11">
        <v>247874</v>
      </c>
      <c r="K541" s="6">
        <v>0.33</v>
      </c>
      <c r="L541" t="s">
        <v>94</v>
      </c>
      <c r="M541" t="s">
        <v>95</v>
      </c>
      <c r="N541" s="5" t="s">
        <v>31</v>
      </c>
      <c r="O541">
        <f>TBL_Employees[[#This Row],[Bonus %]]*TBL_Employees[[#This Row],[Annual Salary]]</f>
        <v>81798.42</v>
      </c>
      <c r="P541" t="str">
        <f>IF(TBL_Employees[[#This Row],[Age]]&gt;50,"Senior","Junior")</f>
        <v>Senior</v>
      </c>
      <c r="Q541" s="14" t="str">
        <f>IF(OR(D541="IT", J541&gt;100000), "YES", "NO")</f>
        <v>YES</v>
      </c>
      <c r="R541" s="14">
        <f>YEAR(TBL_Employees[[#This Row],[Hire Date]])</f>
        <v>2001</v>
      </c>
    </row>
    <row r="542" spans="1:18" x14ac:dyDescent="0.35">
      <c r="A542" t="s">
        <v>1133</v>
      </c>
      <c r="B542" t="s">
        <v>1134</v>
      </c>
      <c r="C542" t="s">
        <v>278</v>
      </c>
      <c r="D542" t="s">
        <v>70</v>
      </c>
      <c r="E542" t="s">
        <v>26</v>
      </c>
      <c r="F542" t="s">
        <v>27</v>
      </c>
      <c r="G542" t="s">
        <v>28</v>
      </c>
      <c r="H542">
        <v>60</v>
      </c>
      <c r="I542" s="5">
        <v>39944</v>
      </c>
      <c r="J542" s="11">
        <v>62239</v>
      </c>
      <c r="K542" s="6">
        <v>0</v>
      </c>
      <c r="L542" t="s">
        <v>29</v>
      </c>
      <c r="M542" t="s">
        <v>115</v>
      </c>
      <c r="N542" s="5" t="s">
        <v>31</v>
      </c>
      <c r="O542">
        <f>TBL_Employees[[#This Row],[Bonus %]]*TBL_Employees[[#This Row],[Annual Salary]]</f>
        <v>0</v>
      </c>
      <c r="P542" t="str">
        <f>IF(TBL_Employees[[#This Row],[Age]]&gt;50,"Senior","Junior")</f>
        <v>Senior</v>
      </c>
      <c r="Q542" s="14" t="str">
        <f>IF(OR(D542="IT", J542&gt;100000), "YES", "NO")</f>
        <v>NO</v>
      </c>
      <c r="R542" s="14">
        <f>YEAR(TBL_Employees[[#This Row],[Hire Date]])</f>
        <v>2009</v>
      </c>
    </row>
    <row r="543" spans="1:18" x14ac:dyDescent="0.35">
      <c r="A543" t="s">
        <v>1135</v>
      </c>
      <c r="B543" t="s">
        <v>1136</v>
      </c>
      <c r="C543" t="s">
        <v>53</v>
      </c>
      <c r="D543" t="s">
        <v>60</v>
      </c>
      <c r="E543" t="s">
        <v>36</v>
      </c>
      <c r="F543" t="s">
        <v>19</v>
      </c>
      <c r="G543" t="s">
        <v>37</v>
      </c>
      <c r="H543">
        <v>31</v>
      </c>
      <c r="I543" s="5">
        <v>41919</v>
      </c>
      <c r="J543" s="11">
        <v>114911</v>
      </c>
      <c r="K543" s="6">
        <v>7.0000000000000007E-2</v>
      </c>
      <c r="L543" t="s">
        <v>21</v>
      </c>
      <c r="M543" t="s">
        <v>38</v>
      </c>
      <c r="N543" s="5" t="s">
        <v>31</v>
      </c>
      <c r="O543">
        <f>TBL_Employees[[#This Row],[Bonus %]]*TBL_Employees[[#This Row],[Annual Salary]]</f>
        <v>8043.77</v>
      </c>
      <c r="P543" t="str">
        <f>IF(TBL_Employees[[#This Row],[Age]]&gt;50,"Senior","Junior")</f>
        <v>Junior</v>
      </c>
      <c r="Q543" s="14" t="str">
        <f>IF(OR(D543="IT", J543&gt;100000), "YES", "NO")</f>
        <v>YES</v>
      </c>
      <c r="R543" s="14">
        <f>YEAR(TBL_Employees[[#This Row],[Hire Date]])</f>
        <v>2014</v>
      </c>
    </row>
    <row r="544" spans="1:18" x14ac:dyDescent="0.35">
      <c r="A544" t="s">
        <v>1137</v>
      </c>
      <c r="B544" t="s">
        <v>1138</v>
      </c>
      <c r="C544" t="s">
        <v>114</v>
      </c>
      <c r="D544" t="s">
        <v>70</v>
      </c>
      <c r="E544" t="s">
        <v>50</v>
      </c>
      <c r="F544" t="s">
        <v>27</v>
      </c>
      <c r="G544" t="s">
        <v>86</v>
      </c>
      <c r="H544">
        <v>45</v>
      </c>
      <c r="I544" s="5">
        <v>43217</v>
      </c>
      <c r="J544" s="11">
        <v>115490</v>
      </c>
      <c r="K544" s="6">
        <v>0.12</v>
      </c>
      <c r="L544" t="s">
        <v>21</v>
      </c>
      <c r="M544" t="s">
        <v>38</v>
      </c>
      <c r="N544" s="5" t="s">
        <v>31</v>
      </c>
      <c r="O544">
        <f>TBL_Employees[[#This Row],[Bonus %]]*TBL_Employees[[#This Row],[Annual Salary]]</f>
        <v>13858.8</v>
      </c>
      <c r="P544" t="str">
        <f>IF(TBL_Employees[[#This Row],[Age]]&gt;50,"Senior","Junior")</f>
        <v>Junior</v>
      </c>
      <c r="Q544" s="14" t="str">
        <f>IF(OR(D544="IT", J544&gt;100000), "YES", "NO")</f>
        <v>YES</v>
      </c>
      <c r="R544" s="14">
        <f>YEAR(TBL_Employees[[#This Row],[Hire Date]])</f>
        <v>2018</v>
      </c>
    </row>
    <row r="545" spans="1:18" x14ac:dyDescent="0.35">
      <c r="A545" t="s">
        <v>1139</v>
      </c>
      <c r="B545" t="s">
        <v>1140</v>
      </c>
      <c r="C545" t="s">
        <v>53</v>
      </c>
      <c r="D545" t="s">
        <v>60</v>
      </c>
      <c r="E545" t="s">
        <v>36</v>
      </c>
      <c r="F545" t="s">
        <v>27</v>
      </c>
      <c r="G545" t="s">
        <v>28</v>
      </c>
      <c r="H545">
        <v>34</v>
      </c>
      <c r="I545" s="5">
        <v>40952</v>
      </c>
      <c r="J545" s="11">
        <v>118708</v>
      </c>
      <c r="K545" s="6">
        <v>7.0000000000000007E-2</v>
      </c>
      <c r="L545" t="s">
        <v>29</v>
      </c>
      <c r="M545" t="s">
        <v>75</v>
      </c>
      <c r="N545" s="5" t="s">
        <v>31</v>
      </c>
      <c r="O545">
        <f>TBL_Employees[[#This Row],[Bonus %]]*TBL_Employees[[#This Row],[Annual Salary]]</f>
        <v>8309.5600000000013</v>
      </c>
      <c r="P545" t="str">
        <f>IF(TBL_Employees[[#This Row],[Age]]&gt;50,"Senior","Junior")</f>
        <v>Junior</v>
      </c>
      <c r="Q545" s="14" t="str">
        <f>IF(OR(D545="IT", J545&gt;100000), "YES", "NO")</f>
        <v>YES</v>
      </c>
      <c r="R545" s="14">
        <f>YEAR(TBL_Employees[[#This Row],[Hire Date]])</f>
        <v>2012</v>
      </c>
    </row>
    <row r="546" spans="1:18" x14ac:dyDescent="0.35">
      <c r="A546" t="s">
        <v>1141</v>
      </c>
      <c r="B546" t="s">
        <v>1142</v>
      </c>
      <c r="C546" t="s">
        <v>34</v>
      </c>
      <c r="D546" t="s">
        <v>60</v>
      </c>
      <c r="E546" t="s">
        <v>36</v>
      </c>
      <c r="F546" t="s">
        <v>19</v>
      </c>
      <c r="G546" t="s">
        <v>28</v>
      </c>
      <c r="H546">
        <v>29</v>
      </c>
      <c r="I546" s="5">
        <v>42914</v>
      </c>
      <c r="J546" s="11">
        <v>197649</v>
      </c>
      <c r="K546" s="6">
        <v>0.2</v>
      </c>
      <c r="L546" t="s">
        <v>21</v>
      </c>
      <c r="M546" t="s">
        <v>89</v>
      </c>
      <c r="N546" s="5" t="s">
        <v>31</v>
      </c>
      <c r="O546">
        <f>TBL_Employees[[#This Row],[Bonus %]]*TBL_Employees[[#This Row],[Annual Salary]]</f>
        <v>39529.800000000003</v>
      </c>
      <c r="P546" t="str">
        <f>IF(TBL_Employees[[#This Row],[Age]]&gt;50,"Senior","Junior")</f>
        <v>Junior</v>
      </c>
      <c r="Q546" s="14" t="str">
        <f>IF(OR(D546="IT", J546&gt;100000), "YES", "NO")</f>
        <v>YES</v>
      </c>
      <c r="R546" s="14">
        <f>YEAR(TBL_Employees[[#This Row],[Hire Date]])</f>
        <v>2017</v>
      </c>
    </row>
    <row r="547" spans="1:18" x14ac:dyDescent="0.35">
      <c r="A547" t="s">
        <v>1143</v>
      </c>
      <c r="B547" t="s">
        <v>1144</v>
      </c>
      <c r="C547" t="s">
        <v>44</v>
      </c>
      <c r="D547" t="s">
        <v>60</v>
      </c>
      <c r="E547" t="s">
        <v>36</v>
      </c>
      <c r="F547" t="s">
        <v>19</v>
      </c>
      <c r="G547" t="s">
        <v>28</v>
      </c>
      <c r="H547">
        <v>45</v>
      </c>
      <c r="I547" s="5">
        <v>43999</v>
      </c>
      <c r="J547" s="11">
        <v>89841</v>
      </c>
      <c r="K547" s="6">
        <v>0</v>
      </c>
      <c r="L547" t="s">
        <v>29</v>
      </c>
      <c r="M547" t="s">
        <v>115</v>
      </c>
      <c r="N547" s="5" t="s">
        <v>31</v>
      </c>
      <c r="O547">
        <f>TBL_Employees[[#This Row],[Bonus %]]*TBL_Employees[[#This Row],[Annual Salary]]</f>
        <v>0</v>
      </c>
      <c r="P547" t="str">
        <f>IF(TBL_Employees[[#This Row],[Age]]&gt;50,"Senior","Junior")</f>
        <v>Junior</v>
      </c>
      <c r="Q547" s="14" t="str">
        <f>IF(OR(D547="IT", J547&gt;100000), "YES", "NO")</f>
        <v>NO</v>
      </c>
      <c r="R547" s="14">
        <f>YEAR(TBL_Employees[[#This Row],[Hire Date]])</f>
        <v>2020</v>
      </c>
    </row>
    <row r="548" spans="1:18" x14ac:dyDescent="0.35">
      <c r="A548" t="s">
        <v>272</v>
      </c>
      <c r="B548" t="s">
        <v>1145</v>
      </c>
      <c r="C548" t="s">
        <v>125</v>
      </c>
      <c r="D548" t="s">
        <v>35</v>
      </c>
      <c r="E548" t="s">
        <v>36</v>
      </c>
      <c r="F548" t="s">
        <v>19</v>
      </c>
      <c r="G548" t="s">
        <v>37</v>
      </c>
      <c r="H548">
        <v>52</v>
      </c>
      <c r="I548" s="5">
        <v>43819</v>
      </c>
      <c r="J548" s="11">
        <v>61026</v>
      </c>
      <c r="K548" s="6">
        <v>0</v>
      </c>
      <c r="L548" t="s">
        <v>21</v>
      </c>
      <c r="M548" t="s">
        <v>45</v>
      </c>
      <c r="N548" s="5" t="s">
        <v>31</v>
      </c>
      <c r="O548">
        <f>TBL_Employees[[#This Row],[Bonus %]]*TBL_Employees[[#This Row],[Annual Salary]]</f>
        <v>0</v>
      </c>
      <c r="P548" t="str">
        <f>IF(TBL_Employees[[#This Row],[Age]]&gt;50,"Senior","Junior")</f>
        <v>Senior</v>
      </c>
      <c r="Q548" s="14" t="str">
        <f>IF(OR(D548="IT", J548&gt;100000), "YES", "NO")</f>
        <v>NO</v>
      </c>
      <c r="R548" s="14">
        <f>YEAR(TBL_Employees[[#This Row],[Hire Date]])</f>
        <v>2019</v>
      </c>
    </row>
    <row r="549" spans="1:18" x14ac:dyDescent="0.35">
      <c r="A549" t="s">
        <v>1146</v>
      </c>
      <c r="B549" t="s">
        <v>1147</v>
      </c>
      <c r="C549" t="s">
        <v>69</v>
      </c>
      <c r="D549" t="s">
        <v>70</v>
      </c>
      <c r="E549" t="s">
        <v>36</v>
      </c>
      <c r="F549" t="s">
        <v>19</v>
      </c>
      <c r="G549" t="s">
        <v>37</v>
      </c>
      <c r="H549">
        <v>48</v>
      </c>
      <c r="I549" s="5">
        <v>41907</v>
      </c>
      <c r="J549" s="11">
        <v>96693</v>
      </c>
      <c r="K549" s="6">
        <v>0</v>
      </c>
      <c r="L549" t="s">
        <v>21</v>
      </c>
      <c r="M549" t="s">
        <v>38</v>
      </c>
      <c r="N549" s="5" t="s">
        <v>31</v>
      </c>
      <c r="O549">
        <f>TBL_Employees[[#This Row],[Bonus %]]*TBL_Employees[[#This Row],[Annual Salary]]</f>
        <v>0</v>
      </c>
      <c r="P549" t="str">
        <f>IF(TBL_Employees[[#This Row],[Age]]&gt;50,"Senior","Junior")</f>
        <v>Junior</v>
      </c>
      <c r="Q549" s="14" t="str">
        <f>IF(OR(D549="IT", J549&gt;100000), "YES", "NO")</f>
        <v>NO</v>
      </c>
      <c r="R549" s="14">
        <f>YEAR(TBL_Employees[[#This Row],[Hire Date]])</f>
        <v>2014</v>
      </c>
    </row>
    <row r="550" spans="1:18" x14ac:dyDescent="0.35">
      <c r="A550" t="s">
        <v>1148</v>
      </c>
      <c r="B550" t="s">
        <v>1149</v>
      </c>
      <c r="C550" t="s">
        <v>224</v>
      </c>
      <c r="D550" t="s">
        <v>70</v>
      </c>
      <c r="E550" t="s">
        <v>36</v>
      </c>
      <c r="F550" t="s">
        <v>19</v>
      </c>
      <c r="G550" t="s">
        <v>86</v>
      </c>
      <c r="H550">
        <v>48</v>
      </c>
      <c r="I550" s="5">
        <v>39991</v>
      </c>
      <c r="J550" s="11">
        <v>82907</v>
      </c>
      <c r="K550" s="6">
        <v>0</v>
      </c>
      <c r="L550" t="s">
        <v>21</v>
      </c>
      <c r="M550" t="s">
        <v>22</v>
      </c>
      <c r="N550" s="5" t="s">
        <v>31</v>
      </c>
      <c r="O550">
        <f>TBL_Employees[[#This Row],[Bonus %]]*TBL_Employees[[#This Row],[Annual Salary]]</f>
        <v>0</v>
      </c>
      <c r="P550" t="str">
        <f>IF(TBL_Employees[[#This Row],[Age]]&gt;50,"Senior","Junior")</f>
        <v>Junior</v>
      </c>
      <c r="Q550" s="14" t="str">
        <f>IF(OR(D550="IT", J550&gt;100000), "YES", "NO")</f>
        <v>NO</v>
      </c>
      <c r="R550" s="14">
        <f>YEAR(TBL_Employees[[#This Row],[Hire Date]])</f>
        <v>2009</v>
      </c>
    </row>
    <row r="551" spans="1:18" x14ac:dyDescent="0.35">
      <c r="A551" t="s">
        <v>1150</v>
      </c>
      <c r="B551" t="s">
        <v>1151</v>
      </c>
      <c r="C551" t="s">
        <v>80</v>
      </c>
      <c r="D551" t="s">
        <v>81</v>
      </c>
      <c r="E551" t="s">
        <v>50</v>
      </c>
      <c r="F551" t="s">
        <v>27</v>
      </c>
      <c r="G551" t="s">
        <v>28</v>
      </c>
      <c r="H551">
        <v>41</v>
      </c>
      <c r="I551" s="5">
        <v>41916</v>
      </c>
      <c r="J551" s="11">
        <v>257194</v>
      </c>
      <c r="K551" s="6">
        <v>0.35</v>
      </c>
      <c r="L551" t="s">
        <v>29</v>
      </c>
      <c r="M551" t="s">
        <v>30</v>
      </c>
      <c r="N551" s="5" t="s">
        <v>31</v>
      </c>
      <c r="O551">
        <f>TBL_Employees[[#This Row],[Bonus %]]*TBL_Employees[[#This Row],[Annual Salary]]</f>
        <v>90017.9</v>
      </c>
      <c r="P551" t="str">
        <f>IF(TBL_Employees[[#This Row],[Age]]&gt;50,"Senior","Junior")</f>
        <v>Junior</v>
      </c>
      <c r="Q551" s="14" t="str">
        <f>IF(OR(D551="IT", J551&gt;100000), "YES", "NO")</f>
        <v>YES</v>
      </c>
      <c r="R551" s="14">
        <f>YEAR(TBL_Employees[[#This Row],[Hire Date]])</f>
        <v>2014</v>
      </c>
    </row>
    <row r="552" spans="1:18" x14ac:dyDescent="0.35">
      <c r="A552" t="s">
        <v>1152</v>
      </c>
      <c r="B552" t="s">
        <v>1153</v>
      </c>
      <c r="C552" t="s">
        <v>109</v>
      </c>
      <c r="D552" t="s">
        <v>70</v>
      </c>
      <c r="E552" t="s">
        <v>18</v>
      </c>
      <c r="F552" t="s">
        <v>27</v>
      </c>
      <c r="G552" t="s">
        <v>86</v>
      </c>
      <c r="H552">
        <v>41</v>
      </c>
      <c r="I552" s="5">
        <v>40929</v>
      </c>
      <c r="J552" s="11">
        <v>94658</v>
      </c>
      <c r="K552" s="6">
        <v>0</v>
      </c>
      <c r="L552" t="s">
        <v>21</v>
      </c>
      <c r="M552" t="s">
        <v>57</v>
      </c>
      <c r="N552" s="5" t="s">
        <v>31</v>
      </c>
      <c r="O552">
        <f>TBL_Employees[[#This Row],[Bonus %]]*TBL_Employees[[#This Row],[Annual Salary]]</f>
        <v>0</v>
      </c>
      <c r="P552" t="str">
        <f>IF(TBL_Employees[[#This Row],[Age]]&gt;50,"Senior","Junior")</f>
        <v>Junior</v>
      </c>
      <c r="Q552" s="14" t="str">
        <f>IF(OR(D552="IT", J552&gt;100000), "YES", "NO")</f>
        <v>NO</v>
      </c>
      <c r="R552" s="14">
        <f>YEAR(TBL_Employees[[#This Row],[Hire Date]])</f>
        <v>2012</v>
      </c>
    </row>
    <row r="553" spans="1:18" x14ac:dyDescent="0.35">
      <c r="A553" t="s">
        <v>1154</v>
      </c>
      <c r="B553" t="s">
        <v>1155</v>
      </c>
      <c r="C553" t="s">
        <v>109</v>
      </c>
      <c r="D553" t="s">
        <v>70</v>
      </c>
      <c r="E553" t="s">
        <v>18</v>
      </c>
      <c r="F553" t="s">
        <v>27</v>
      </c>
      <c r="G553" t="s">
        <v>28</v>
      </c>
      <c r="H553">
        <v>55</v>
      </c>
      <c r="I553" s="5">
        <v>40663</v>
      </c>
      <c r="J553" s="11">
        <v>89419</v>
      </c>
      <c r="K553" s="6">
        <v>0</v>
      </c>
      <c r="L553" t="s">
        <v>29</v>
      </c>
      <c r="M553" t="s">
        <v>75</v>
      </c>
      <c r="N553" s="5" t="s">
        <v>31</v>
      </c>
      <c r="O553">
        <f>TBL_Employees[[#This Row],[Bonus %]]*TBL_Employees[[#This Row],[Annual Salary]]</f>
        <v>0</v>
      </c>
      <c r="P553" t="str">
        <f>IF(TBL_Employees[[#This Row],[Age]]&gt;50,"Senior","Junior")</f>
        <v>Senior</v>
      </c>
      <c r="Q553" s="14" t="str">
        <f>IF(OR(D553="IT", J553&gt;100000), "YES", "NO")</f>
        <v>NO</v>
      </c>
      <c r="R553" s="14">
        <f>YEAR(TBL_Employees[[#This Row],[Hire Date]])</f>
        <v>2011</v>
      </c>
    </row>
    <row r="554" spans="1:18" x14ac:dyDescent="0.35">
      <c r="A554" t="s">
        <v>1156</v>
      </c>
      <c r="B554" t="s">
        <v>1157</v>
      </c>
      <c r="C554" t="s">
        <v>165</v>
      </c>
      <c r="D554" t="s">
        <v>66</v>
      </c>
      <c r="E554" t="s">
        <v>26</v>
      </c>
      <c r="F554" t="s">
        <v>27</v>
      </c>
      <c r="G554" t="s">
        <v>20</v>
      </c>
      <c r="H554">
        <v>45</v>
      </c>
      <c r="I554" s="5">
        <v>42357</v>
      </c>
      <c r="J554" s="11">
        <v>51983</v>
      </c>
      <c r="K554" s="6">
        <v>0</v>
      </c>
      <c r="L554" t="s">
        <v>21</v>
      </c>
      <c r="M554" t="s">
        <v>89</v>
      </c>
      <c r="N554" s="5" t="s">
        <v>31</v>
      </c>
      <c r="O554">
        <f>TBL_Employees[[#This Row],[Bonus %]]*TBL_Employees[[#This Row],[Annual Salary]]</f>
        <v>0</v>
      </c>
      <c r="P554" t="str">
        <f>IF(TBL_Employees[[#This Row],[Age]]&gt;50,"Senior","Junior")</f>
        <v>Junior</v>
      </c>
      <c r="Q554" s="14" t="str">
        <f>IF(OR(D554="IT", J554&gt;100000), "YES", "NO")</f>
        <v>NO</v>
      </c>
      <c r="R554" s="14">
        <f>YEAR(TBL_Employees[[#This Row],[Hire Date]])</f>
        <v>2015</v>
      </c>
    </row>
    <row r="555" spans="1:18" x14ac:dyDescent="0.35">
      <c r="A555" t="s">
        <v>1158</v>
      </c>
      <c r="B555" t="s">
        <v>1159</v>
      </c>
      <c r="C555" t="s">
        <v>34</v>
      </c>
      <c r="D555" t="s">
        <v>35</v>
      </c>
      <c r="E555" t="s">
        <v>50</v>
      </c>
      <c r="F555" t="s">
        <v>19</v>
      </c>
      <c r="G555" t="s">
        <v>28</v>
      </c>
      <c r="H555">
        <v>53</v>
      </c>
      <c r="I555" s="5">
        <v>37304</v>
      </c>
      <c r="J555" s="11">
        <v>179494</v>
      </c>
      <c r="K555" s="6">
        <v>0.2</v>
      </c>
      <c r="L555" t="s">
        <v>29</v>
      </c>
      <c r="M555" t="s">
        <v>30</v>
      </c>
      <c r="N555" s="5" t="s">
        <v>31</v>
      </c>
      <c r="O555">
        <f>TBL_Employees[[#This Row],[Bonus %]]*TBL_Employees[[#This Row],[Annual Salary]]</f>
        <v>35898.800000000003</v>
      </c>
      <c r="P555" t="str">
        <f>IF(TBL_Employees[[#This Row],[Age]]&gt;50,"Senior","Junior")</f>
        <v>Senior</v>
      </c>
      <c r="Q555" s="14" t="str">
        <f>IF(OR(D555="IT", J555&gt;100000), "YES", "NO")</f>
        <v>YES</v>
      </c>
      <c r="R555" s="14">
        <f>YEAR(TBL_Employees[[#This Row],[Hire Date]])</f>
        <v>2002</v>
      </c>
    </row>
    <row r="556" spans="1:18" x14ac:dyDescent="0.35">
      <c r="A556" t="s">
        <v>1160</v>
      </c>
      <c r="B556" t="s">
        <v>1161</v>
      </c>
      <c r="C556" t="s">
        <v>443</v>
      </c>
      <c r="D556" t="s">
        <v>17</v>
      </c>
      <c r="E556" t="s">
        <v>50</v>
      </c>
      <c r="F556" t="s">
        <v>27</v>
      </c>
      <c r="G556" t="s">
        <v>86</v>
      </c>
      <c r="H556">
        <v>49</v>
      </c>
      <c r="I556" s="5">
        <v>42545</v>
      </c>
      <c r="J556" s="11">
        <v>68426</v>
      </c>
      <c r="K556" s="6">
        <v>0</v>
      </c>
      <c r="L556" t="s">
        <v>94</v>
      </c>
      <c r="M556" t="s">
        <v>100</v>
      </c>
      <c r="N556" s="5" t="s">
        <v>31</v>
      </c>
      <c r="O556">
        <f>TBL_Employees[[#This Row],[Bonus %]]*TBL_Employees[[#This Row],[Annual Salary]]</f>
        <v>0</v>
      </c>
      <c r="P556" t="str">
        <f>IF(TBL_Employees[[#This Row],[Age]]&gt;50,"Senior","Junior")</f>
        <v>Junior</v>
      </c>
      <c r="Q556" s="14" t="str">
        <f>IF(OR(D556="IT", J556&gt;100000), "YES", "NO")</f>
        <v>YES</v>
      </c>
      <c r="R556" s="14">
        <f>YEAR(TBL_Employees[[#This Row],[Hire Date]])</f>
        <v>2016</v>
      </c>
    </row>
    <row r="557" spans="1:18" x14ac:dyDescent="0.35">
      <c r="A557" t="s">
        <v>1162</v>
      </c>
      <c r="B557" t="s">
        <v>1163</v>
      </c>
      <c r="C557" t="s">
        <v>16</v>
      </c>
      <c r="D557" t="s">
        <v>35</v>
      </c>
      <c r="E557" t="s">
        <v>50</v>
      </c>
      <c r="F557" t="s">
        <v>19</v>
      </c>
      <c r="G557" t="s">
        <v>86</v>
      </c>
      <c r="H557">
        <v>55</v>
      </c>
      <c r="I557" s="5">
        <v>42772</v>
      </c>
      <c r="J557" s="11">
        <v>144986</v>
      </c>
      <c r="K557" s="6">
        <v>0.12</v>
      </c>
      <c r="L557" t="s">
        <v>21</v>
      </c>
      <c r="M557" t="s">
        <v>45</v>
      </c>
      <c r="N557" s="5" t="s">
        <v>31</v>
      </c>
      <c r="O557">
        <f>TBL_Employees[[#This Row],[Bonus %]]*TBL_Employees[[#This Row],[Annual Salary]]</f>
        <v>17398.32</v>
      </c>
      <c r="P557" t="str">
        <f>IF(TBL_Employees[[#This Row],[Age]]&gt;50,"Senior","Junior")</f>
        <v>Senior</v>
      </c>
      <c r="Q557" s="14" t="str">
        <f>IF(OR(D557="IT", J557&gt;100000), "YES", "NO")</f>
        <v>YES</v>
      </c>
      <c r="R557" s="14">
        <f>YEAR(TBL_Employees[[#This Row],[Hire Date]])</f>
        <v>2017</v>
      </c>
    </row>
    <row r="558" spans="1:18" x14ac:dyDescent="0.35">
      <c r="A558" t="s">
        <v>1164</v>
      </c>
      <c r="B558" t="s">
        <v>1165</v>
      </c>
      <c r="C558" t="s">
        <v>48</v>
      </c>
      <c r="D558" t="s">
        <v>49</v>
      </c>
      <c r="E558" t="s">
        <v>36</v>
      </c>
      <c r="F558" t="s">
        <v>19</v>
      </c>
      <c r="G558" t="s">
        <v>28</v>
      </c>
      <c r="H558">
        <v>45</v>
      </c>
      <c r="I558" s="5">
        <v>36754</v>
      </c>
      <c r="J558" s="11">
        <v>60113</v>
      </c>
      <c r="K558" s="6">
        <v>0</v>
      </c>
      <c r="L558" t="s">
        <v>21</v>
      </c>
      <c r="M558" t="s">
        <v>38</v>
      </c>
      <c r="N558" s="5" t="s">
        <v>31</v>
      </c>
      <c r="O558">
        <f>TBL_Employees[[#This Row],[Bonus %]]*TBL_Employees[[#This Row],[Annual Salary]]</f>
        <v>0</v>
      </c>
      <c r="P558" t="str">
        <f>IF(TBL_Employees[[#This Row],[Age]]&gt;50,"Senior","Junior")</f>
        <v>Junior</v>
      </c>
      <c r="Q558" s="14" t="str">
        <f>IF(OR(D558="IT", J558&gt;100000), "YES", "NO")</f>
        <v>NO</v>
      </c>
      <c r="R558" s="14">
        <f>YEAR(TBL_Employees[[#This Row],[Hire Date]])</f>
        <v>2000</v>
      </c>
    </row>
    <row r="559" spans="1:18" x14ac:dyDescent="0.35">
      <c r="A559" t="s">
        <v>257</v>
      </c>
      <c r="B559" t="s">
        <v>1166</v>
      </c>
      <c r="C559" t="s">
        <v>165</v>
      </c>
      <c r="D559" t="s">
        <v>66</v>
      </c>
      <c r="E559" t="s">
        <v>18</v>
      </c>
      <c r="F559" t="s">
        <v>19</v>
      </c>
      <c r="G559" t="s">
        <v>86</v>
      </c>
      <c r="H559">
        <v>52</v>
      </c>
      <c r="I559" s="5">
        <v>44304</v>
      </c>
      <c r="J559" s="11">
        <v>50548</v>
      </c>
      <c r="K559" s="6">
        <v>0</v>
      </c>
      <c r="L559" t="s">
        <v>94</v>
      </c>
      <c r="M559" t="s">
        <v>219</v>
      </c>
      <c r="N559" s="5" t="s">
        <v>31</v>
      </c>
      <c r="O559">
        <f>TBL_Employees[[#This Row],[Bonus %]]*TBL_Employees[[#This Row],[Annual Salary]]</f>
        <v>0</v>
      </c>
      <c r="P559" t="str">
        <f>IF(TBL_Employees[[#This Row],[Age]]&gt;50,"Senior","Junior")</f>
        <v>Senior</v>
      </c>
      <c r="Q559" s="14" t="str">
        <f>IF(OR(D559="IT", J559&gt;100000), "YES", "NO")</f>
        <v>NO</v>
      </c>
      <c r="R559" s="14">
        <f>YEAR(TBL_Employees[[#This Row],[Hire Date]])</f>
        <v>2021</v>
      </c>
    </row>
    <row r="560" spans="1:18" x14ac:dyDescent="0.35">
      <c r="A560" t="s">
        <v>1167</v>
      </c>
      <c r="B560" t="s">
        <v>1168</v>
      </c>
      <c r="C560" t="s">
        <v>125</v>
      </c>
      <c r="D560" t="s">
        <v>81</v>
      </c>
      <c r="E560" t="s">
        <v>26</v>
      </c>
      <c r="F560" t="s">
        <v>19</v>
      </c>
      <c r="G560" t="s">
        <v>37</v>
      </c>
      <c r="H560">
        <v>33</v>
      </c>
      <c r="I560" s="5">
        <v>43904</v>
      </c>
      <c r="J560" s="11">
        <v>68846</v>
      </c>
      <c r="K560" s="6">
        <v>0</v>
      </c>
      <c r="L560" t="s">
        <v>21</v>
      </c>
      <c r="M560" t="s">
        <v>38</v>
      </c>
      <c r="N560" s="5" t="s">
        <v>31</v>
      </c>
      <c r="O560">
        <f>TBL_Employees[[#This Row],[Bonus %]]*TBL_Employees[[#This Row],[Annual Salary]]</f>
        <v>0</v>
      </c>
      <c r="P560" t="str">
        <f>IF(TBL_Employees[[#This Row],[Age]]&gt;50,"Senior","Junior")</f>
        <v>Junior</v>
      </c>
      <c r="Q560" s="14" t="str">
        <f>IF(OR(D560="IT", J560&gt;100000), "YES", "NO")</f>
        <v>NO</v>
      </c>
      <c r="R560" s="14">
        <f>YEAR(TBL_Employees[[#This Row],[Hire Date]])</f>
        <v>2020</v>
      </c>
    </row>
    <row r="561" spans="1:18" x14ac:dyDescent="0.35">
      <c r="A561" t="s">
        <v>543</v>
      </c>
      <c r="B561" t="s">
        <v>1169</v>
      </c>
      <c r="C561" t="s">
        <v>373</v>
      </c>
      <c r="D561" t="s">
        <v>17</v>
      </c>
      <c r="E561" t="s">
        <v>50</v>
      </c>
      <c r="F561" t="s">
        <v>19</v>
      </c>
      <c r="G561" t="s">
        <v>86</v>
      </c>
      <c r="H561">
        <v>59</v>
      </c>
      <c r="I561" s="5">
        <v>41717</v>
      </c>
      <c r="J561" s="11">
        <v>90901</v>
      </c>
      <c r="K561" s="6">
        <v>0</v>
      </c>
      <c r="L561" t="s">
        <v>21</v>
      </c>
      <c r="M561" t="s">
        <v>22</v>
      </c>
      <c r="N561" s="5" t="s">
        <v>31</v>
      </c>
      <c r="O561">
        <f>TBL_Employees[[#This Row],[Bonus %]]*TBL_Employees[[#This Row],[Annual Salary]]</f>
        <v>0</v>
      </c>
      <c r="P561" t="str">
        <f>IF(TBL_Employees[[#This Row],[Age]]&gt;50,"Senior","Junior")</f>
        <v>Senior</v>
      </c>
      <c r="Q561" s="14" t="str">
        <f>IF(OR(D561="IT", J561&gt;100000), "YES", "NO")</f>
        <v>YES</v>
      </c>
      <c r="R561" s="14">
        <f>YEAR(TBL_Employees[[#This Row],[Hire Date]])</f>
        <v>2014</v>
      </c>
    </row>
    <row r="562" spans="1:18" x14ac:dyDescent="0.35">
      <c r="A562" t="s">
        <v>1170</v>
      </c>
      <c r="B562" t="s">
        <v>1171</v>
      </c>
      <c r="C562" t="s">
        <v>53</v>
      </c>
      <c r="D562" t="s">
        <v>60</v>
      </c>
      <c r="E562" t="s">
        <v>50</v>
      </c>
      <c r="F562" t="s">
        <v>19</v>
      </c>
      <c r="G562" t="s">
        <v>28</v>
      </c>
      <c r="H562">
        <v>50</v>
      </c>
      <c r="I562" s="5">
        <v>41155</v>
      </c>
      <c r="J562" s="11">
        <v>102033</v>
      </c>
      <c r="K562" s="6">
        <v>0.08</v>
      </c>
      <c r="L562" t="s">
        <v>21</v>
      </c>
      <c r="M562" t="s">
        <v>61</v>
      </c>
      <c r="N562" s="5" t="s">
        <v>31</v>
      </c>
      <c r="O562">
        <f>TBL_Employees[[#This Row],[Bonus %]]*TBL_Employees[[#This Row],[Annual Salary]]</f>
        <v>8162.64</v>
      </c>
      <c r="P562" t="str">
        <f>IF(TBL_Employees[[#This Row],[Age]]&gt;50,"Senior","Junior")</f>
        <v>Junior</v>
      </c>
      <c r="Q562" s="14" t="str">
        <f>IF(OR(D562="IT", J562&gt;100000), "YES", "NO")</f>
        <v>YES</v>
      </c>
      <c r="R562" s="14">
        <f>YEAR(TBL_Employees[[#This Row],[Hire Date]])</f>
        <v>2012</v>
      </c>
    </row>
    <row r="563" spans="1:18" x14ac:dyDescent="0.35">
      <c r="A563" t="s">
        <v>1172</v>
      </c>
      <c r="B563" t="s">
        <v>1173</v>
      </c>
      <c r="C563" t="s">
        <v>34</v>
      </c>
      <c r="D563" t="s">
        <v>49</v>
      </c>
      <c r="E563" t="s">
        <v>26</v>
      </c>
      <c r="F563" t="s">
        <v>19</v>
      </c>
      <c r="G563" t="s">
        <v>37</v>
      </c>
      <c r="H563">
        <v>61</v>
      </c>
      <c r="I563" s="5">
        <v>44219</v>
      </c>
      <c r="J563" s="11">
        <v>151783</v>
      </c>
      <c r="K563" s="6">
        <v>0.26</v>
      </c>
      <c r="L563" t="s">
        <v>21</v>
      </c>
      <c r="M563" t="s">
        <v>22</v>
      </c>
      <c r="N563" s="5" t="s">
        <v>31</v>
      </c>
      <c r="O563">
        <f>TBL_Employees[[#This Row],[Bonus %]]*TBL_Employees[[#This Row],[Annual Salary]]</f>
        <v>39463.58</v>
      </c>
      <c r="P563" t="str">
        <f>IF(TBL_Employees[[#This Row],[Age]]&gt;50,"Senior","Junior")</f>
        <v>Senior</v>
      </c>
      <c r="Q563" s="14" t="str">
        <f>IF(OR(D563="IT", J563&gt;100000), "YES", "NO")</f>
        <v>YES</v>
      </c>
      <c r="R563" s="14">
        <f>YEAR(TBL_Employees[[#This Row],[Hire Date]])</f>
        <v>2021</v>
      </c>
    </row>
    <row r="564" spans="1:18" x14ac:dyDescent="0.35">
      <c r="A564" t="s">
        <v>1174</v>
      </c>
      <c r="B564" t="s">
        <v>1175</v>
      </c>
      <c r="C564" t="s">
        <v>34</v>
      </c>
      <c r="D564" t="s">
        <v>70</v>
      </c>
      <c r="E564" t="s">
        <v>50</v>
      </c>
      <c r="F564" t="s">
        <v>19</v>
      </c>
      <c r="G564" t="s">
        <v>86</v>
      </c>
      <c r="H564">
        <v>27</v>
      </c>
      <c r="I564" s="5">
        <v>43441</v>
      </c>
      <c r="J564" s="11">
        <v>170164</v>
      </c>
      <c r="K564" s="6">
        <v>0.17</v>
      </c>
      <c r="L564" t="s">
        <v>21</v>
      </c>
      <c r="M564" t="s">
        <v>61</v>
      </c>
      <c r="N564" s="5" t="s">
        <v>31</v>
      </c>
      <c r="O564">
        <f>TBL_Employees[[#This Row],[Bonus %]]*TBL_Employees[[#This Row],[Annual Salary]]</f>
        <v>28927.88</v>
      </c>
      <c r="P564" t="str">
        <f>IF(TBL_Employees[[#This Row],[Age]]&gt;50,"Senior","Junior")</f>
        <v>Junior</v>
      </c>
      <c r="Q564" s="14" t="str">
        <f>IF(OR(D564="IT", J564&gt;100000), "YES", "NO")</f>
        <v>YES</v>
      </c>
      <c r="R564" s="14">
        <f>YEAR(TBL_Employees[[#This Row],[Hire Date]])</f>
        <v>2018</v>
      </c>
    </row>
    <row r="565" spans="1:18" x14ac:dyDescent="0.35">
      <c r="A565" t="s">
        <v>1176</v>
      </c>
      <c r="B565" t="s">
        <v>1177</v>
      </c>
      <c r="C565" t="s">
        <v>16</v>
      </c>
      <c r="D565" t="s">
        <v>81</v>
      </c>
      <c r="E565" t="s">
        <v>36</v>
      </c>
      <c r="F565" t="s">
        <v>19</v>
      </c>
      <c r="G565" t="s">
        <v>28</v>
      </c>
      <c r="H565">
        <v>35</v>
      </c>
      <c r="I565" s="5">
        <v>41690</v>
      </c>
      <c r="J565" s="11">
        <v>155905</v>
      </c>
      <c r="K565" s="6">
        <v>0.14000000000000001</v>
      </c>
      <c r="L565" t="s">
        <v>21</v>
      </c>
      <c r="M565" t="s">
        <v>45</v>
      </c>
      <c r="N565" s="5" t="s">
        <v>31</v>
      </c>
      <c r="O565">
        <f>TBL_Employees[[#This Row],[Bonus %]]*TBL_Employees[[#This Row],[Annual Salary]]</f>
        <v>21826.7</v>
      </c>
      <c r="P565" t="str">
        <f>IF(TBL_Employees[[#This Row],[Age]]&gt;50,"Senior","Junior")</f>
        <v>Junior</v>
      </c>
      <c r="Q565" s="14" t="str">
        <f>IF(OR(D565="IT", J565&gt;100000), "YES", "NO")</f>
        <v>YES</v>
      </c>
      <c r="R565" s="14">
        <f>YEAR(TBL_Employees[[#This Row],[Hire Date]])</f>
        <v>2014</v>
      </c>
    </row>
    <row r="566" spans="1:18" x14ac:dyDescent="0.35">
      <c r="A566" t="s">
        <v>923</v>
      </c>
      <c r="B566" t="s">
        <v>1178</v>
      </c>
      <c r="C566" t="s">
        <v>56</v>
      </c>
      <c r="D566" t="s">
        <v>49</v>
      </c>
      <c r="E566" t="s">
        <v>50</v>
      </c>
      <c r="F566" t="s">
        <v>27</v>
      </c>
      <c r="G566" t="s">
        <v>28</v>
      </c>
      <c r="H566">
        <v>40</v>
      </c>
      <c r="I566" s="5">
        <v>42721</v>
      </c>
      <c r="J566" s="11">
        <v>50733</v>
      </c>
      <c r="K566" s="6">
        <v>0</v>
      </c>
      <c r="L566" t="s">
        <v>21</v>
      </c>
      <c r="M566" t="s">
        <v>57</v>
      </c>
      <c r="N566" s="5" t="s">
        <v>31</v>
      </c>
      <c r="O566">
        <f>TBL_Employees[[#This Row],[Bonus %]]*TBL_Employees[[#This Row],[Annual Salary]]</f>
        <v>0</v>
      </c>
      <c r="P566" t="str">
        <f>IF(TBL_Employees[[#This Row],[Age]]&gt;50,"Senior","Junior")</f>
        <v>Junior</v>
      </c>
      <c r="Q566" s="14" t="str">
        <f>IF(OR(D566="IT", J566&gt;100000), "YES", "NO")</f>
        <v>NO</v>
      </c>
      <c r="R566" s="14">
        <f>YEAR(TBL_Employees[[#This Row],[Hire Date]])</f>
        <v>2016</v>
      </c>
    </row>
    <row r="567" spans="1:18" x14ac:dyDescent="0.35">
      <c r="A567" t="s">
        <v>1179</v>
      </c>
      <c r="B567" t="s">
        <v>1180</v>
      </c>
      <c r="C567" t="s">
        <v>144</v>
      </c>
      <c r="D567" t="s">
        <v>66</v>
      </c>
      <c r="E567" t="s">
        <v>50</v>
      </c>
      <c r="F567" t="s">
        <v>19</v>
      </c>
      <c r="G567" t="s">
        <v>37</v>
      </c>
      <c r="H567">
        <v>30</v>
      </c>
      <c r="I567" s="5">
        <v>42761</v>
      </c>
      <c r="J567" s="11">
        <v>88663</v>
      </c>
      <c r="K567" s="6">
        <v>0</v>
      </c>
      <c r="L567" t="s">
        <v>21</v>
      </c>
      <c r="M567" t="s">
        <v>45</v>
      </c>
      <c r="N567" s="5" t="s">
        <v>31</v>
      </c>
      <c r="O567">
        <f>TBL_Employees[[#This Row],[Bonus %]]*TBL_Employees[[#This Row],[Annual Salary]]</f>
        <v>0</v>
      </c>
      <c r="P567" t="str">
        <f>IF(TBL_Employees[[#This Row],[Age]]&gt;50,"Senior","Junior")</f>
        <v>Junior</v>
      </c>
      <c r="Q567" s="14" t="str">
        <f>IF(OR(D567="IT", J567&gt;100000), "YES", "NO")</f>
        <v>NO</v>
      </c>
      <c r="R567" s="14">
        <f>YEAR(TBL_Employees[[#This Row],[Hire Date]])</f>
        <v>2017</v>
      </c>
    </row>
    <row r="568" spans="1:18" x14ac:dyDescent="0.35">
      <c r="A568" t="s">
        <v>1181</v>
      </c>
      <c r="B568" t="s">
        <v>1182</v>
      </c>
      <c r="C568" t="s">
        <v>176</v>
      </c>
      <c r="D568" t="s">
        <v>70</v>
      </c>
      <c r="E568" t="s">
        <v>26</v>
      </c>
      <c r="F568" t="s">
        <v>27</v>
      </c>
      <c r="G568" t="s">
        <v>28</v>
      </c>
      <c r="H568">
        <v>60</v>
      </c>
      <c r="I568" s="5">
        <v>33890</v>
      </c>
      <c r="J568" s="11">
        <v>88213</v>
      </c>
      <c r="K568" s="6">
        <v>0</v>
      </c>
      <c r="L568" t="s">
        <v>29</v>
      </c>
      <c r="M568" t="s">
        <v>30</v>
      </c>
      <c r="N568" s="5" t="s">
        <v>31</v>
      </c>
      <c r="O568">
        <f>TBL_Employees[[#This Row],[Bonus %]]*TBL_Employees[[#This Row],[Annual Salary]]</f>
        <v>0</v>
      </c>
      <c r="P568" t="str">
        <f>IF(TBL_Employees[[#This Row],[Age]]&gt;50,"Senior","Junior")</f>
        <v>Senior</v>
      </c>
      <c r="Q568" s="14" t="str">
        <f>IF(OR(D568="IT", J568&gt;100000), "YES", "NO")</f>
        <v>NO</v>
      </c>
      <c r="R568" s="14">
        <f>YEAR(TBL_Employees[[#This Row],[Hire Date]])</f>
        <v>1992</v>
      </c>
    </row>
    <row r="569" spans="1:18" x14ac:dyDescent="0.35">
      <c r="A569" t="s">
        <v>1183</v>
      </c>
      <c r="B569" t="s">
        <v>1184</v>
      </c>
      <c r="C569" t="s">
        <v>125</v>
      </c>
      <c r="D569" t="s">
        <v>49</v>
      </c>
      <c r="E569" t="s">
        <v>36</v>
      </c>
      <c r="F569" t="s">
        <v>27</v>
      </c>
      <c r="G569" t="s">
        <v>28</v>
      </c>
      <c r="H569">
        <v>55</v>
      </c>
      <c r="I569" s="5">
        <v>44410</v>
      </c>
      <c r="J569" s="11">
        <v>67130</v>
      </c>
      <c r="K569" s="6">
        <v>0</v>
      </c>
      <c r="L569" t="s">
        <v>21</v>
      </c>
      <c r="M569" t="s">
        <v>57</v>
      </c>
      <c r="N569" s="5" t="s">
        <v>31</v>
      </c>
      <c r="O569">
        <f>TBL_Employees[[#This Row],[Bonus %]]*TBL_Employees[[#This Row],[Annual Salary]]</f>
        <v>0</v>
      </c>
      <c r="P569" t="str">
        <f>IF(TBL_Employees[[#This Row],[Age]]&gt;50,"Senior","Junior")</f>
        <v>Senior</v>
      </c>
      <c r="Q569" s="14" t="str">
        <f>IF(OR(D569="IT", J569&gt;100000), "YES", "NO")</f>
        <v>NO</v>
      </c>
      <c r="R569" s="14">
        <f>YEAR(TBL_Employees[[#This Row],[Hire Date]])</f>
        <v>2021</v>
      </c>
    </row>
    <row r="570" spans="1:18" x14ac:dyDescent="0.35">
      <c r="A570" t="s">
        <v>323</v>
      </c>
      <c r="B570" t="s">
        <v>1185</v>
      </c>
      <c r="C570" t="s">
        <v>44</v>
      </c>
      <c r="D570" t="s">
        <v>35</v>
      </c>
      <c r="E570" t="s">
        <v>36</v>
      </c>
      <c r="F570" t="s">
        <v>19</v>
      </c>
      <c r="G570" t="s">
        <v>28</v>
      </c>
      <c r="H570">
        <v>33</v>
      </c>
      <c r="I570" s="5">
        <v>42285</v>
      </c>
      <c r="J570" s="11">
        <v>94876</v>
      </c>
      <c r="K570" s="6">
        <v>0</v>
      </c>
      <c r="L570" t="s">
        <v>21</v>
      </c>
      <c r="M570" t="s">
        <v>57</v>
      </c>
      <c r="N570" s="5" t="s">
        <v>31</v>
      </c>
      <c r="O570">
        <f>TBL_Employees[[#This Row],[Bonus %]]*TBL_Employees[[#This Row],[Annual Salary]]</f>
        <v>0</v>
      </c>
      <c r="P570" t="str">
        <f>IF(TBL_Employees[[#This Row],[Age]]&gt;50,"Senior","Junior")</f>
        <v>Junior</v>
      </c>
      <c r="Q570" s="14" t="str">
        <f>IF(OR(D570="IT", J570&gt;100000), "YES", "NO")</f>
        <v>NO</v>
      </c>
      <c r="R570" s="14">
        <f>YEAR(TBL_Employees[[#This Row],[Hire Date]])</f>
        <v>2015</v>
      </c>
    </row>
    <row r="571" spans="1:18" x14ac:dyDescent="0.35">
      <c r="A571" t="s">
        <v>1186</v>
      </c>
      <c r="B571" t="s">
        <v>1187</v>
      </c>
      <c r="C571" t="s">
        <v>278</v>
      </c>
      <c r="D571" t="s">
        <v>70</v>
      </c>
      <c r="E571" t="s">
        <v>36</v>
      </c>
      <c r="F571" t="s">
        <v>27</v>
      </c>
      <c r="G571" t="s">
        <v>86</v>
      </c>
      <c r="H571">
        <v>62</v>
      </c>
      <c r="I571" s="5">
        <v>34616</v>
      </c>
      <c r="J571" s="11">
        <v>98230</v>
      </c>
      <c r="K571" s="6">
        <v>0</v>
      </c>
      <c r="L571" t="s">
        <v>21</v>
      </c>
      <c r="M571" t="s">
        <v>57</v>
      </c>
      <c r="N571" s="5" t="s">
        <v>31</v>
      </c>
      <c r="O571">
        <f>TBL_Employees[[#This Row],[Bonus %]]*TBL_Employees[[#This Row],[Annual Salary]]</f>
        <v>0</v>
      </c>
      <c r="P571" t="str">
        <f>IF(TBL_Employees[[#This Row],[Age]]&gt;50,"Senior","Junior")</f>
        <v>Senior</v>
      </c>
      <c r="Q571" s="14" t="str">
        <f>IF(OR(D571="IT", J571&gt;100000), "YES", "NO")</f>
        <v>NO</v>
      </c>
      <c r="R571" s="14">
        <f>YEAR(TBL_Employees[[#This Row],[Hire Date]])</f>
        <v>1994</v>
      </c>
    </row>
    <row r="572" spans="1:18" x14ac:dyDescent="0.35">
      <c r="A572" t="s">
        <v>1188</v>
      </c>
      <c r="B572" t="s">
        <v>1189</v>
      </c>
      <c r="C572" t="s">
        <v>224</v>
      </c>
      <c r="D572" t="s">
        <v>70</v>
      </c>
      <c r="E572" t="s">
        <v>18</v>
      </c>
      <c r="F572" t="s">
        <v>19</v>
      </c>
      <c r="G572" t="s">
        <v>28</v>
      </c>
      <c r="H572">
        <v>36</v>
      </c>
      <c r="I572" s="5">
        <v>43448</v>
      </c>
      <c r="J572" s="11">
        <v>96757</v>
      </c>
      <c r="K572" s="6">
        <v>0</v>
      </c>
      <c r="L572" t="s">
        <v>21</v>
      </c>
      <c r="M572" t="s">
        <v>89</v>
      </c>
      <c r="N572" s="5" t="s">
        <v>31</v>
      </c>
      <c r="O572">
        <f>TBL_Employees[[#This Row],[Bonus %]]*TBL_Employees[[#This Row],[Annual Salary]]</f>
        <v>0</v>
      </c>
      <c r="P572" t="str">
        <f>IF(TBL_Employees[[#This Row],[Age]]&gt;50,"Senior","Junior")</f>
        <v>Junior</v>
      </c>
      <c r="Q572" s="14" t="str">
        <f>IF(OR(D572="IT", J572&gt;100000), "YES", "NO")</f>
        <v>NO</v>
      </c>
      <c r="R572" s="14">
        <f>YEAR(TBL_Employees[[#This Row],[Hire Date]])</f>
        <v>2018</v>
      </c>
    </row>
    <row r="573" spans="1:18" x14ac:dyDescent="0.35">
      <c r="A573" t="s">
        <v>1190</v>
      </c>
      <c r="B573" t="s">
        <v>1191</v>
      </c>
      <c r="C573" t="s">
        <v>125</v>
      </c>
      <c r="D573" t="s">
        <v>81</v>
      </c>
      <c r="E573" t="s">
        <v>26</v>
      </c>
      <c r="F573" t="s">
        <v>27</v>
      </c>
      <c r="G573" t="s">
        <v>20</v>
      </c>
      <c r="H573">
        <v>35</v>
      </c>
      <c r="I573" s="5">
        <v>44015</v>
      </c>
      <c r="J573" s="11">
        <v>51513</v>
      </c>
      <c r="K573" s="6">
        <v>0</v>
      </c>
      <c r="L573" t="s">
        <v>21</v>
      </c>
      <c r="M573" t="s">
        <v>89</v>
      </c>
      <c r="N573" s="5" t="s">
        <v>31</v>
      </c>
      <c r="O573">
        <f>TBL_Employees[[#This Row],[Bonus %]]*TBL_Employees[[#This Row],[Annual Salary]]</f>
        <v>0</v>
      </c>
      <c r="P573" t="str">
        <f>IF(TBL_Employees[[#This Row],[Age]]&gt;50,"Senior","Junior")</f>
        <v>Junior</v>
      </c>
      <c r="Q573" s="14" t="str">
        <f>IF(OR(D573="IT", J573&gt;100000), "YES", "NO")</f>
        <v>NO</v>
      </c>
      <c r="R573" s="14">
        <f>YEAR(TBL_Employees[[#This Row],[Hire Date]])</f>
        <v>2020</v>
      </c>
    </row>
    <row r="574" spans="1:18" x14ac:dyDescent="0.35">
      <c r="A574" t="s">
        <v>1192</v>
      </c>
      <c r="B574" t="s">
        <v>1193</v>
      </c>
      <c r="C574" t="s">
        <v>80</v>
      </c>
      <c r="D574" t="s">
        <v>81</v>
      </c>
      <c r="E574" t="s">
        <v>50</v>
      </c>
      <c r="F574" t="s">
        <v>27</v>
      </c>
      <c r="G574" t="s">
        <v>28</v>
      </c>
      <c r="H574">
        <v>60</v>
      </c>
      <c r="I574" s="5">
        <v>39109</v>
      </c>
      <c r="J574" s="11">
        <v>234311</v>
      </c>
      <c r="K574" s="6">
        <v>0.37</v>
      </c>
      <c r="L574" t="s">
        <v>21</v>
      </c>
      <c r="M574" t="s">
        <v>57</v>
      </c>
      <c r="N574" s="5" t="s">
        <v>31</v>
      </c>
      <c r="O574">
        <f>TBL_Employees[[#This Row],[Bonus %]]*TBL_Employees[[#This Row],[Annual Salary]]</f>
        <v>86695.069999999992</v>
      </c>
      <c r="P574" t="str">
        <f>IF(TBL_Employees[[#This Row],[Age]]&gt;50,"Senior","Junior")</f>
        <v>Senior</v>
      </c>
      <c r="Q574" s="14" t="str">
        <f>IF(OR(D574="IT", J574&gt;100000), "YES", "NO")</f>
        <v>YES</v>
      </c>
      <c r="R574" s="14">
        <f>YEAR(TBL_Employees[[#This Row],[Hire Date]])</f>
        <v>2007</v>
      </c>
    </row>
    <row r="575" spans="1:18" x14ac:dyDescent="0.35">
      <c r="A575" t="s">
        <v>1194</v>
      </c>
      <c r="B575" t="s">
        <v>1195</v>
      </c>
      <c r="C575" t="s">
        <v>16</v>
      </c>
      <c r="D575" t="s">
        <v>66</v>
      </c>
      <c r="E575" t="s">
        <v>36</v>
      </c>
      <c r="F575" t="s">
        <v>19</v>
      </c>
      <c r="G575" t="s">
        <v>86</v>
      </c>
      <c r="H575">
        <v>45</v>
      </c>
      <c r="I575" s="5">
        <v>40685</v>
      </c>
      <c r="J575" s="11">
        <v>152353</v>
      </c>
      <c r="K575" s="6">
        <v>0.14000000000000001</v>
      </c>
      <c r="L575" t="s">
        <v>21</v>
      </c>
      <c r="M575" t="s">
        <v>22</v>
      </c>
      <c r="N575" s="5" t="s">
        <v>31</v>
      </c>
      <c r="O575">
        <f>TBL_Employees[[#This Row],[Bonus %]]*TBL_Employees[[#This Row],[Annual Salary]]</f>
        <v>21329.420000000002</v>
      </c>
      <c r="P575" t="str">
        <f>IF(TBL_Employees[[#This Row],[Age]]&gt;50,"Senior","Junior")</f>
        <v>Junior</v>
      </c>
      <c r="Q575" s="14" t="str">
        <f>IF(OR(D575="IT", J575&gt;100000), "YES", "NO")</f>
        <v>YES</v>
      </c>
      <c r="R575" s="14">
        <f>YEAR(TBL_Employees[[#This Row],[Hire Date]])</f>
        <v>2011</v>
      </c>
    </row>
    <row r="576" spans="1:18" x14ac:dyDescent="0.35">
      <c r="A576" t="s">
        <v>1196</v>
      </c>
      <c r="B576" t="s">
        <v>1197</v>
      </c>
      <c r="C576" t="s">
        <v>16</v>
      </c>
      <c r="D576" t="s">
        <v>60</v>
      </c>
      <c r="E576" t="s">
        <v>36</v>
      </c>
      <c r="F576" t="s">
        <v>19</v>
      </c>
      <c r="G576" t="s">
        <v>37</v>
      </c>
      <c r="H576">
        <v>48</v>
      </c>
      <c r="I576" s="5">
        <v>40389</v>
      </c>
      <c r="J576" s="11">
        <v>124774</v>
      </c>
      <c r="K576" s="6">
        <v>0.12</v>
      </c>
      <c r="L576" t="s">
        <v>21</v>
      </c>
      <c r="M576" t="s">
        <v>45</v>
      </c>
      <c r="N576" s="5" t="s">
        <v>31</v>
      </c>
      <c r="O576">
        <f>TBL_Employees[[#This Row],[Bonus %]]*TBL_Employees[[#This Row],[Annual Salary]]</f>
        <v>14972.88</v>
      </c>
      <c r="P576" t="str">
        <f>IF(TBL_Employees[[#This Row],[Age]]&gt;50,"Senior","Junior")</f>
        <v>Junior</v>
      </c>
      <c r="Q576" s="14" t="str">
        <f>IF(OR(D576="IT", J576&gt;100000), "YES", "NO")</f>
        <v>YES</v>
      </c>
      <c r="R576" s="14">
        <f>YEAR(TBL_Employees[[#This Row],[Hire Date]])</f>
        <v>2010</v>
      </c>
    </row>
    <row r="577" spans="1:18" x14ac:dyDescent="0.35">
      <c r="A577" t="s">
        <v>913</v>
      </c>
      <c r="B577" t="s">
        <v>1198</v>
      </c>
      <c r="C577" t="s">
        <v>34</v>
      </c>
      <c r="D577" t="s">
        <v>81</v>
      </c>
      <c r="E577" t="s">
        <v>50</v>
      </c>
      <c r="F577" t="s">
        <v>19</v>
      </c>
      <c r="G577" t="s">
        <v>28</v>
      </c>
      <c r="H577">
        <v>36</v>
      </c>
      <c r="I577" s="5">
        <v>40434</v>
      </c>
      <c r="J577" s="11">
        <v>157070</v>
      </c>
      <c r="K577" s="6">
        <v>0.28000000000000003</v>
      </c>
      <c r="L577" t="s">
        <v>29</v>
      </c>
      <c r="M577" t="s">
        <v>30</v>
      </c>
      <c r="N577" s="5" t="s">
        <v>31</v>
      </c>
      <c r="O577">
        <f>TBL_Employees[[#This Row],[Bonus %]]*TBL_Employees[[#This Row],[Annual Salary]]</f>
        <v>43979.600000000006</v>
      </c>
      <c r="P577" t="str">
        <f>IF(TBL_Employees[[#This Row],[Age]]&gt;50,"Senior","Junior")</f>
        <v>Junior</v>
      </c>
      <c r="Q577" s="14" t="str">
        <f>IF(OR(D577="IT", J577&gt;100000), "YES", "NO")</f>
        <v>YES</v>
      </c>
      <c r="R577" s="14">
        <f>YEAR(TBL_Employees[[#This Row],[Hire Date]])</f>
        <v>2010</v>
      </c>
    </row>
    <row r="578" spans="1:18" x14ac:dyDescent="0.35">
      <c r="A578" t="s">
        <v>1199</v>
      </c>
      <c r="B578" t="s">
        <v>1200</v>
      </c>
      <c r="C578" t="s">
        <v>16</v>
      </c>
      <c r="D578" t="s">
        <v>35</v>
      </c>
      <c r="E578" t="s">
        <v>36</v>
      </c>
      <c r="F578" t="s">
        <v>27</v>
      </c>
      <c r="G578" t="s">
        <v>86</v>
      </c>
      <c r="H578">
        <v>44</v>
      </c>
      <c r="I578" s="5">
        <v>43685</v>
      </c>
      <c r="J578" s="11">
        <v>130133</v>
      </c>
      <c r="K578" s="6">
        <v>0.15</v>
      </c>
      <c r="L578" t="s">
        <v>21</v>
      </c>
      <c r="M578" t="s">
        <v>61</v>
      </c>
      <c r="N578" s="5">
        <v>44699</v>
      </c>
      <c r="O578">
        <f>TBL_Employees[[#This Row],[Bonus %]]*TBL_Employees[[#This Row],[Annual Salary]]</f>
        <v>19519.95</v>
      </c>
      <c r="P578" t="str">
        <f>IF(TBL_Employees[[#This Row],[Age]]&gt;50,"Senior","Junior")</f>
        <v>Junior</v>
      </c>
      <c r="Q578" s="14" t="str">
        <f>IF(OR(D578="IT", J578&gt;100000), "YES", "NO")</f>
        <v>YES</v>
      </c>
      <c r="R578" s="14">
        <f>YEAR(TBL_Employees[[#This Row],[Hire Date]])</f>
        <v>2019</v>
      </c>
    </row>
    <row r="579" spans="1:18" x14ac:dyDescent="0.35">
      <c r="A579" t="s">
        <v>1201</v>
      </c>
      <c r="B579" t="s">
        <v>1202</v>
      </c>
      <c r="C579" t="s">
        <v>53</v>
      </c>
      <c r="D579" t="s">
        <v>81</v>
      </c>
      <c r="E579" t="s">
        <v>26</v>
      </c>
      <c r="F579" t="s">
        <v>19</v>
      </c>
      <c r="G579" t="s">
        <v>28</v>
      </c>
      <c r="H579">
        <v>64</v>
      </c>
      <c r="I579" s="5">
        <v>43729</v>
      </c>
      <c r="J579" s="11">
        <v>108780</v>
      </c>
      <c r="K579" s="6">
        <v>0.06</v>
      </c>
      <c r="L579" t="s">
        <v>29</v>
      </c>
      <c r="M579" t="s">
        <v>75</v>
      </c>
      <c r="N579" s="5" t="s">
        <v>31</v>
      </c>
      <c r="O579">
        <f>TBL_Employees[[#This Row],[Bonus %]]*TBL_Employees[[#This Row],[Annual Salary]]</f>
        <v>6526.8</v>
      </c>
      <c r="P579" t="str">
        <f>IF(TBL_Employees[[#This Row],[Age]]&gt;50,"Senior","Junior")</f>
        <v>Senior</v>
      </c>
      <c r="Q579" s="14" t="str">
        <f>IF(OR(D579="IT", J579&gt;100000), "YES", "NO")</f>
        <v>YES</v>
      </c>
      <c r="R579" s="14">
        <f>YEAR(TBL_Employees[[#This Row],[Hire Date]])</f>
        <v>2019</v>
      </c>
    </row>
    <row r="580" spans="1:18" x14ac:dyDescent="0.35">
      <c r="A580" t="s">
        <v>1203</v>
      </c>
      <c r="B580" t="s">
        <v>1204</v>
      </c>
      <c r="C580" t="s">
        <v>34</v>
      </c>
      <c r="D580" t="s">
        <v>70</v>
      </c>
      <c r="E580" t="s">
        <v>36</v>
      </c>
      <c r="F580" t="s">
        <v>19</v>
      </c>
      <c r="G580" t="s">
        <v>28</v>
      </c>
      <c r="H580">
        <v>46</v>
      </c>
      <c r="I580" s="5">
        <v>44125</v>
      </c>
      <c r="J580" s="11">
        <v>151853</v>
      </c>
      <c r="K580" s="6">
        <v>0.16</v>
      </c>
      <c r="L580" t="s">
        <v>29</v>
      </c>
      <c r="M580" t="s">
        <v>135</v>
      </c>
      <c r="N580" s="5" t="s">
        <v>31</v>
      </c>
      <c r="O580">
        <f>TBL_Employees[[#This Row],[Bonus %]]*TBL_Employees[[#This Row],[Annual Salary]]</f>
        <v>24296.48</v>
      </c>
      <c r="P580" t="str">
        <f>IF(TBL_Employees[[#This Row],[Age]]&gt;50,"Senior","Junior")</f>
        <v>Junior</v>
      </c>
      <c r="Q580" s="14" t="str">
        <f>IF(OR(D580="IT", J580&gt;100000), "YES", "NO")</f>
        <v>YES</v>
      </c>
      <c r="R580" s="14">
        <f>YEAR(TBL_Employees[[#This Row],[Hire Date]])</f>
        <v>2020</v>
      </c>
    </row>
    <row r="581" spans="1:18" x14ac:dyDescent="0.35">
      <c r="A581" t="s">
        <v>1205</v>
      </c>
      <c r="B581" t="s">
        <v>1206</v>
      </c>
      <c r="C581" t="s">
        <v>48</v>
      </c>
      <c r="D581" t="s">
        <v>49</v>
      </c>
      <c r="E581" t="s">
        <v>26</v>
      </c>
      <c r="F581" t="s">
        <v>19</v>
      </c>
      <c r="G581" t="s">
        <v>28</v>
      </c>
      <c r="H581">
        <v>62</v>
      </c>
      <c r="I581" s="5">
        <v>38977</v>
      </c>
      <c r="J581" s="11">
        <v>64669</v>
      </c>
      <c r="K581" s="6">
        <v>0</v>
      </c>
      <c r="L581" t="s">
        <v>29</v>
      </c>
      <c r="M581" t="s">
        <v>30</v>
      </c>
      <c r="N581" s="5" t="s">
        <v>31</v>
      </c>
      <c r="O581">
        <f>TBL_Employees[[#This Row],[Bonus %]]*TBL_Employees[[#This Row],[Annual Salary]]</f>
        <v>0</v>
      </c>
      <c r="P581" t="str">
        <f>IF(TBL_Employees[[#This Row],[Age]]&gt;50,"Senior","Junior")</f>
        <v>Senior</v>
      </c>
      <c r="Q581" s="14" t="str">
        <f>IF(OR(D581="IT", J581&gt;100000), "YES", "NO")</f>
        <v>NO</v>
      </c>
      <c r="R581" s="14">
        <f>YEAR(TBL_Employees[[#This Row],[Hire Date]])</f>
        <v>2006</v>
      </c>
    </row>
    <row r="582" spans="1:18" x14ac:dyDescent="0.35">
      <c r="A582" t="s">
        <v>1207</v>
      </c>
      <c r="B582" t="s">
        <v>1208</v>
      </c>
      <c r="C582" t="s">
        <v>125</v>
      </c>
      <c r="D582" t="s">
        <v>81</v>
      </c>
      <c r="E582" t="s">
        <v>18</v>
      </c>
      <c r="F582" t="s">
        <v>27</v>
      </c>
      <c r="G582" t="s">
        <v>86</v>
      </c>
      <c r="H582">
        <v>61</v>
      </c>
      <c r="I582" s="5">
        <v>39568</v>
      </c>
      <c r="J582" s="11">
        <v>69352</v>
      </c>
      <c r="K582" s="6">
        <v>0</v>
      </c>
      <c r="L582" t="s">
        <v>94</v>
      </c>
      <c r="M582" t="s">
        <v>100</v>
      </c>
      <c r="N582" s="5" t="s">
        <v>31</v>
      </c>
      <c r="O582">
        <f>TBL_Employees[[#This Row],[Bonus %]]*TBL_Employees[[#This Row],[Annual Salary]]</f>
        <v>0</v>
      </c>
      <c r="P582" t="str">
        <f>IF(TBL_Employees[[#This Row],[Age]]&gt;50,"Senior","Junior")</f>
        <v>Senior</v>
      </c>
      <c r="Q582" s="14" t="str">
        <f>IF(OR(D582="IT", J582&gt;100000), "YES", "NO")</f>
        <v>NO</v>
      </c>
      <c r="R582" s="14">
        <f>YEAR(TBL_Employees[[#This Row],[Hire Date]])</f>
        <v>2008</v>
      </c>
    </row>
    <row r="583" spans="1:18" x14ac:dyDescent="0.35">
      <c r="A583" t="s">
        <v>1209</v>
      </c>
      <c r="B583" t="s">
        <v>1210</v>
      </c>
      <c r="C583" t="s">
        <v>125</v>
      </c>
      <c r="D583" t="s">
        <v>81</v>
      </c>
      <c r="E583" t="s">
        <v>18</v>
      </c>
      <c r="F583" t="s">
        <v>27</v>
      </c>
      <c r="G583" t="s">
        <v>28</v>
      </c>
      <c r="H583">
        <v>65</v>
      </c>
      <c r="I583" s="5">
        <v>37181</v>
      </c>
      <c r="J583" s="11">
        <v>74631</v>
      </c>
      <c r="K583" s="6">
        <v>0</v>
      </c>
      <c r="L583" t="s">
        <v>29</v>
      </c>
      <c r="M583" t="s">
        <v>30</v>
      </c>
      <c r="N583" s="5" t="s">
        <v>31</v>
      </c>
      <c r="O583">
        <f>TBL_Employees[[#This Row],[Bonus %]]*TBL_Employees[[#This Row],[Annual Salary]]</f>
        <v>0</v>
      </c>
      <c r="P583" t="str">
        <f>IF(TBL_Employees[[#This Row],[Age]]&gt;50,"Senior","Junior")</f>
        <v>Senior</v>
      </c>
      <c r="Q583" s="14" t="str">
        <f>IF(OR(D583="IT", J583&gt;100000), "YES", "NO")</f>
        <v>NO</v>
      </c>
      <c r="R583" s="14">
        <f>YEAR(TBL_Employees[[#This Row],[Hire Date]])</f>
        <v>2001</v>
      </c>
    </row>
    <row r="584" spans="1:18" x14ac:dyDescent="0.35">
      <c r="A584" t="s">
        <v>1211</v>
      </c>
      <c r="B584" t="s">
        <v>1212</v>
      </c>
      <c r="C584" t="s">
        <v>109</v>
      </c>
      <c r="D584" t="s">
        <v>70</v>
      </c>
      <c r="E584" t="s">
        <v>36</v>
      </c>
      <c r="F584" t="s">
        <v>27</v>
      </c>
      <c r="G584" t="s">
        <v>86</v>
      </c>
      <c r="H584">
        <v>54</v>
      </c>
      <c r="I584" s="5">
        <v>41028</v>
      </c>
      <c r="J584" s="11">
        <v>96441</v>
      </c>
      <c r="K584" s="6">
        <v>0</v>
      </c>
      <c r="L584" t="s">
        <v>94</v>
      </c>
      <c r="M584" t="s">
        <v>219</v>
      </c>
      <c r="N584" s="5" t="s">
        <v>31</v>
      </c>
      <c r="O584">
        <f>TBL_Employees[[#This Row],[Bonus %]]*TBL_Employees[[#This Row],[Annual Salary]]</f>
        <v>0</v>
      </c>
      <c r="P584" t="str">
        <f>IF(TBL_Employees[[#This Row],[Age]]&gt;50,"Senior","Junior")</f>
        <v>Senior</v>
      </c>
      <c r="Q584" s="14" t="str">
        <f>IF(OR(D584="IT", J584&gt;100000), "YES", "NO")</f>
        <v>NO</v>
      </c>
      <c r="R584" s="14">
        <f>YEAR(TBL_Employees[[#This Row],[Hire Date]])</f>
        <v>2012</v>
      </c>
    </row>
    <row r="585" spans="1:18" x14ac:dyDescent="0.35">
      <c r="A585" t="s">
        <v>1213</v>
      </c>
      <c r="B585" t="s">
        <v>1214</v>
      </c>
      <c r="C585" t="s">
        <v>114</v>
      </c>
      <c r="D585" t="s">
        <v>70</v>
      </c>
      <c r="E585" t="s">
        <v>36</v>
      </c>
      <c r="F585" t="s">
        <v>27</v>
      </c>
      <c r="G585" t="s">
        <v>28</v>
      </c>
      <c r="H585">
        <v>46</v>
      </c>
      <c r="I585" s="5">
        <v>40836</v>
      </c>
      <c r="J585" s="11">
        <v>114250</v>
      </c>
      <c r="K585" s="6">
        <v>0.14000000000000001</v>
      </c>
      <c r="L585" t="s">
        <v>29</v>
      </c>
      <c r="M585" t="s">
        <v>135</v>
      </c>
      <c r="N585" s="5" t="s">
        <v>31</v>
      </c>
      <c r="O585">
        <f>TBL_Employees[[#This Row],[Bonus %]]*TBL_Employees[[#This Row],[Annual Salary]]</f>
        <v>15995.000000000002</v>
      </c>
      <c r="P585" t="str">
        <f>IF(TBL_Employees[[#This Row],[Age]]&gt;50,"Senior","Junior")</f>
        <v>Junior</v>
      </c>
      <c r="Q585" s="14" t="str">
        <f>IF(OR(D585="IT", J585&gt;100000), "YES", "NO")</f>
        <v>YES</v>
      </c>
      <c r="R585" s="14">
        <f>YEAR(TBL_Employees[[#This Row],[Hire Date]])</f>
        <v>2011</v>
      </c>
    </row>
    <row r="586" spans="1:18" x14ac:dyDescent="0.35">
      <c r="A586" t="s">
        <v>1215</v>
      </c>
      <c r="B586" t="s">
        <v>1216</v>
      </c>
      <c r="C586" t="s">
        <v>41</v>
      </c>
      <c r="D586" t="s">
        <v>17</v>
      </c>
      <c r="E586" t="s">
        <v>50</v>
      </c>
      <c r="F586" t="s">
        <v>27</v>
      </c>
      <c r="G586" t="s">
        <v>86</v>
      </c>
      <c r="H586">
        <v>36</v>
      </c>
      <c r="I586" s="5">
        <v>44192</v>
      </c>
      <c r="J586" s="11">
        <v>70165</v>
      </c>
      <c r="K586" s="6">
        <v>7.0000000000000007E-2</v>
      </c>
      <c r="L586" t="s">
        <v>94</v>
      </c>
      <c r="M586" t="s">
        <v>95</v>
      </c>
      <c r="N586" s="5" t="s">
        <v>31</v>
      </c>
      <c r="O586">
        <f>TBL_Employees[[#This Row],[Bonus %]]*TBL_Employees[[#This Row],[Annual Salary]]</f>
        <v>4911.55</v>
      </c>
      <c r="P586" t="str">
        <f>IF(TBL_Employees[[#This Row],[Age]]&gt;50,"Senior","Junior")</f>
        <v>Junior</v>
      </c>
      <c r="Q586" s="14" t="str">
        <f>IF(OR(D586="IT", J586&gt;100000), "YES", "NO")</f>
        <v>YES</v>
      </c>
      <c r="R586" s="14">
        <f>YEAR(TBL_Employees[[#This Row],[Hire Date]])</f>
        <v>2020</v>
      </c>
    </row>
    <row r="587" spans="1:18" x14ac:dyDescent="0.35">
      <c r="A587" t="s">
        <v>1217</v>
      </c>
      <c r="B587" t="s">
        <v>1218</v>
      </c>
      <c r="C587" t="s">
        <v>53</v>
      </c>
      <c r="D587" t="s">
        <v>17</v>
      </c>
      <c r="E587" t="s">
        <v>50</v>
      </c>
      <c r="F587" t="s">
        <v>27</v>
      </c>
      <c r="G587" t="s">
        <v>28</v>
      </c>
      <c r="H587">
        <v>60</v>
      </c>
      <c r="I587" s="5">
        <v>36554</v>
      </c>
      <c r="J587" s="11">
        <v>109059</v>
      </c>
      <c r="K587" s="6">
        <v>7.0000000000000007E-2</v>
      </c>
      <c r="L587" t="s">
        <v>29</v>
      </c>
      <c r="M587" t="s">
        <v>135</v>
      </c>
      <c r="N587" s="5" t="s">
        <v>31</v>
      </c>
      <c r="O587">
        <f>TBL_Employees[[#This Row],[Bonus %]]*TBL_Employees[[#This Row],[Annual Salary]]</f>
        <v>7634.130000000001</v>
      </c>
      <c r="P587" t="str">
        <f>IF(TBL_Employees[[#This Row],[Age]]&gt;50,"Senior","Junior")</f>
        <v>Senior</v>
      </c>
      <c r="Q587" s="14" t="str">
        <f>IF(OR(D587="IT", J587&gt;100000), "YES", "NO")</f>
        <v>YES</v>
      </c>
      <c r="R587" s="14">
        <f>YEAR(TBL_Employees[[#This Row],[Hire Date]])</f>
        <v>2000</v>
      </c>
    </row>
    <row r="588" spans="1:18" x14ac:dyDescent="0.35">
      <c r="A588" t="s">
        <v>1219</v>
      </c>
      <c r="B588" t="s">
        <v>1220</v>
      </c>
      <c r="C588" t="s">
        <v>182</v>
      </c>
      <c r="D588" t="s">
        <v>70</v>
      </c>
      <c r="E588" t="s">
        <v>18</v>
      </c>
      <c r="F588" t="s">
        <v>19</v>
      </c>
      <c r="G588" t="s">
        <v>28</v>
      </c>
      <c r="H588">
        <v>30</v>
      </c>
      <c r="I588" s="5">
        <v>42322</v>
      </c>
      <c r="J588" s="11">
        <v>77442</v>
      </c>
      <c r="K588" s="6">
        <v>0</v>
      </c>
      <c r="L588" t="s">
        <v>21</v>
      </c>
      <c r="M588" t="s">
        <v>89</v>
      </c>
      <c r="N588" s="5" t="s">
        <v>31</v>
      </c>
      <c r="O588">
        <f>TBL_Employees[[#This Row],[Bonus %]]*TBL_Employees[[#This Row],[Annual Salary]]</f>
        <v>0</v>
      </c>
      <c r="P588" t="str">
        <f>IF(TBL_Employees[[#This Row],[Age]]&gt;50,"Senior","Junior")</f>
        <v>Junior</v>
      </c>
      <c r="Q588" s="14" t="str">
        <f>IF(OR(D588="IT", J588&gt;100000), "YES", "NO")</f>
        <v>NO</v>
      </c>
      <c r="R588" s="14">
        <f>YEAR(TBL_Employees[[#This Row],[Hire Date]])</f>
        <v>2015</v>
      </c>
    </row>
    <row r="589" spans="1:18" x14ac:dyDescent="0.35">
      <c r="A589" t="s">
        <v>1221</v>
      </c>
      <c r="B589" t="s">
        <v>1222</v>
      </c>
      <c r="C589" t="s">
        <v>125</v>
      </c>
      <c r="D589" t="s">
        <v>49</v>
      </c>
      <c r="E589" t="s">
        <v>50</v>
      </c>
      <c r="F589" t="s">
        <v>19</v>
      </c>
      <c r="G589" t="s">
        <v>86</v>
      </c>
      <c r="H589">
        <v>34</v>
      </c>
      <c r="I589" s="5">
        <v>41066</v>
      </c>
      <c r="J589" s="11">
        <v>72126</v>
      </c>
      <c r="K589" s="6">
        <v>0</v>
      </c>
      <c r="L589" t="s">
        <v>94</v>
      </c>
      <c r="M589" t="s">
        <v>95</v>
      </c>
      <c r="N589" s="5" t="s">
        <v>31</v>
      </c>
      <c r="O589">
        <f>TBL_Employees[[#This Row],[Bonus %]]*TBL_Employees[[#This Row],[Annual Salary]]</f>
        <v>0</v>
      </c>
      <c r="P589" t="str">
        <f>IF(TBL_Employees[[#This Row],[Age]]&gt;50,"Senior","Junior")</f>
        <v>Junior</v>
      </c>
      <c r="Q589" s="14" t="str">
        <f>IF(OR(D589="IT", J589&gt;100000), "YES", "NO")</f>
        <v>NO</v>
      </c>
      <c r="R589" s="14">
        <f>YEAR(TBL_Employees[[#This Row],[Hire Date]])</f>
        <v>2012</v>
      </c>
    </row>
    <row r="590" spans="1:18" x14ac:dyDescent="0.35">
      <c r="A590" t="s">
        <v>1223</v>
      </c>
      <c r="B590" t="s">
        <v>1224</v>
      </c>
      <c r="C590" t="s">
        <v>463</v>
      </c>
      <c r="D590" t="s">
        <v>17</v>
      </c>
      <c r="E590" t="s">
        <v>26</v>
      </c>
      <c r="F590" t="s">
        <v>27</v>
      </c>
      <c r="G590" t="s">
        <v>37</v>
      </c>
      <c r="H590">
        <v>55</v>
      </c>
      <c r="I590" s="5">
        <v>41565</v>
      </c>
      <c r="J590" s="11">
        <v>70334</v>
      </c>
      <c r="K590" s="6">
        <v>0</v>
      </c>
      <c r="L590" t="s">
        <v>21</v>
      </c>
      <c r="M590" t="s">
        <v>57</v>
      </c>
      <c r="N590" s="5" t="s">
        <v>31</v>
      </c>
      <c r="O590">
        <f>TBL_Employees[[#This Row],[Bonus %]]*TBL_Employees[[#This Row],[Annual Salary]]</f>
        <v>0</v>
      </c>
      <c r="P590" t="str">
        <f>IF(TBL_Employees[[#This Row],[Age]]&gt;50,"Senior","Junior")</f>
        <v>Senior</v>
      </c>
      <c r="Q590" s="14" t="str">
        <f>IF(OR(D590="IT", J590&gt;100000), "YES", "NO")</f>
        <v>YES</v>
      </c>
      <c r="R590" s="14">
        <f>YEAR(TBL_Employees[[#This Row],[Hire Date]])</f>
        <v>2013</v>
      </c>
    </row>
    <row r="591" spans="1:18" x14ac:dyDescent="0.35">
      <c r="A591" t="s">
        <v>1225</v>
      </c>
      <c r="B591" t="s">
        <v>1226</v>
      </c>
      <c r="C591" t="s">
        <v>109</v>
      </c>
      <c r="D591" t="s">
        <v>70</v>
      </c>
      <c r="E591" t="s">
        <v>18</v>
      </c>
      <c r="F591" t="s">
        <v>27</v>
      </c>
      <c r="G591" t="s">
        <v>28</v>
      </c>
      <c r="H591">
        <v>59</v>
      </c>
      <c r="I591" s="5">
        <v>40170</v>
      </c>
      <c r="J591" s="11">
        <v>78006</v>
      </c>
      <c r="K591" s="6">
        <v>0</v>
      </c>
      <c r="L591" t="s">
        <v>21</v>
      </c>
      <c r="M591" t="s">
        <v>57</v>
      </c>
      <c r="N591" s="5" t="s">
        <v>31</v>
      </c>
      <c r="O591">
        <f>TBL_Employees[[#This Row],[Bonus %]]*TBL_Employees[[#This Row],[Annual Salary]]</f>
        <v>0</v>
      </c>
      <c r="P591" t="str">
        <f>IF(TBL_Employees[[#This Row],[Age]]&gt;50,"Senior","Junior")</f>
        <v>Senior</v>
      </c>
      <c r="Q591" s="14" t="str">
        <f>IF(OR(D591="IT", J591&gt;100000), "YES", "NO")</f>
        <v>NO</v>
      </c>
      <c r="R591" s="14">
        <f>YEAR(TBL_Employees[[#This Row],[Hire Date]])</f>
        <v>2009</v>
      </c>
    </row>
    <row r="592" spans="1:18" x14ac:dyDescent="0.35">
      <c r="A592" t="s">
        <v>1227</v>
      </c>
      <c r="B592" t="s">
        <v>1228</v>
      </c>
      <c r="C592" t="s">
        <v>34</v>
      </c>
      <c r="D592" t="s">
        <v>17</v>
      </c>
      <c r="E592" t="s">
        <v>26</v>
      </c>
      <c r="F592" t="s">
        <v>19</v>
      </c>
      <c r="G592" t="s">
        <v>86</v>
      </c>
      <c r="H592">
        <v>28</v>
      </c>
      <c r="I592" s="5">
        <v>44221</v>
      </c>
      <c r="J592" s="11">
        <v>160385</v>
      </c>
      <c r="K592" s="6">
        <v>0.23</v>
      </c>
      <c r="L592" t="s">
        <v>21</v>
      </c>
      <c r="M592" t="s">
        <v>57</v>
      </c>
      <c r="N592" s="5">
        <v>44334</v>
      </c>
      <c r="O592">
        <f>TBL_Employees[[#This Row],[Bonus %]]*TBL_Employees[[#This Row],[Annual Salary]]</f>
        <v>36888.550000000003</v>
      </c>
      <c r="P592" t="str">
        <f>IF(TBL_Employees[[#This Row],[Age]]&gt;50,"Senior","Junior")</f>
        <v>Junior</v>
      </c>
      <c r="Q592" s="14" t="str">
        <f>IF(OR(D592="IT", J592&gt;100000), "YES", "NO")</f>
        <v>YES</v>
      </c>
      <c r="R592" s="14">
        <f>YEAR(TBL_Employees[[#This Row],[Hire Date]])</f>
        <v>2021</v>
      </c>
    </row>
    <row r="593" spans="1:18" x14ac:dyDescent="0.35">
      <c r="A593" t="s">
        <v>1229</v>
      </c>
      <c r="B593" t="s">
        <v>1230</v>
      </c>
      <c r="C593" t="s">
        <v>80</v>
      </c>
      <c r="D593" t="s">
        <v>35</v>
      </c>
      <c r="E593" t="s">
        <v>50</v>
      </c>
      <c r="F593" t="s">
        <v>19</v>
      </c>
      <c r="G593" t="s">
        <v>37</v>
      </c>
      <c r="H593">
        <v>36</v>
      </c>
      <c r="I593" s="5">
        <v>41650</v>
      </c>
      <c r="J593" s="11">
        <v>202323</v>
      </c>
      <c r="K593" s="6">
        <v>0.39</v>
      </c>
      <c r="L593" t="s">
        <v>21</v>
      </c>
      <c r="M593" t="s">
        <v>38</v>
      </c>
      <c r="N593" s="5" t="s">
        <v>31</v>
      </c>
      <c r="O593">
        <f>TBL_Employees[[#This Row],[Bonus %]]*TBL_Employees[[#This Row],[Annual Salary]]</f>
        <v>78905.97</v>
      </c>
      <c r="P593" t="str">
        <f>IF(TBL_Employees[[#This Row],[Age]]&gt;50,"Senior","Junior")</f>
        <v>Junior</v>
      </c>
      <c r="Q593" s="14" t="str">
        <f>IF(OR(D593="IT", J593&gt;100000), "YES", "NO")</f>
        <v>YES</v>
      </c>
      <c r="R593" s="14">
        <f>YEAR(TBL_Employees[[#This Row],[Hire Date]])</f>
        <v>2014</v>
      </c>
    </row>
    <row r="594" spans="1:18" x14ac:dyDescent="0.35">
      <c r="A594" t="s">
        <v>1231</v>
      </c>
      <c r="B594" t="s">
        <v>1232</v>
      </c>
      <c r="C594" t="s">
        <v>16</v>
      </c>
      <c r="D594" t="s">
        <v>66</v>
      </c>
      <c r="E594" t="s">
        <v>50</v>
      </c>
      <c r="F594" t="s">
        <v>19</v>
      </c>
      <c r="G594" t="s">
        <v>86</v>
      </c>
      <c r="H594">
        <v>29</v>
      </c>
      <c r="I594" s="5">
        <v>44025</v>
      </c>
      <c r="J594" s="11">
        <v>141555</v>
      </c>
      <c r="K594" s="6">
        <v>0.11</v>
      </c>
      <c r="L594" t="s">
        <v>94</v>
      </c>
      <c r="M594" t="s">
        <v>95</v>
      </c>
      <c r="N594" s="5" t="s">
        <v>31</v>
      </c>
      <c r="O594">
        <f>TBL_Employees[[#This Row],[Bonus %]]*TBL_Employees[[#This Row],[Annual Salary]]</f>
        <v>15571.05</v>
      </c>
      <c r="P594" t="str">
        <f>IF(TBL_Employees[[#This Row],[Age]]&gt;50,"Senior","Junior")</f>
        <v>Junior</v>
      </c>
      <c r="Q594" s="14" t="str">
        <f>IF(OR(D594="IT", J594&gt;100000), "YES", "NO")</f>
        <v>YES</v>
      </c>
      <c r="R594" s="14">
        <f>YEAR(TBL_Employees[[#This Row],[Hire Date]])</f>
        <v>2020</v>
      </c>
    </row>
    <row r="595" spans="1:18" x14ac:dyDescent="0.35">
      <c r="A595" t="s">
        <v>1233</v>
      </c>
      <c r="B595" t="s">
        <v>1234</v>
      </c>
      <c r="C595" t="s">
        <v>34</v>
      </c>
      <c r="D595" t="s">
        <v>35</v>
      </c>
      <c r="E595" t="s">
        <v>36</v>
      </c>
      <c r="F595" t="s">
        <v>19</v>
      </c>
      <c r="G595" t="s">
        <v>28</v>
      </c>
      <c r="H595">
        <v>34</v>
      </c>
      <c r="I595" s="5">
        <v>44032</v>
      </c>
      <c r="J595" s="11">
        <v>184960</v>
      </c>
      <c r="K595" s="6">
        <v>0.18</v>
      </c>
      <c r="L595" t="s">
        <v>21</v>
      </c>
      <c r="M595" t="s">
        <v>22</v>
      </c>
      <c r="N595" s="5" t="s">
        <v>31</v>
      </c>
      <c r="O595">
        <f>TBL_Employees[[#This Row],[Bonus %]]*TBL_Employees[[#This Row],[Annual Salary]]</f>
        <v>33292.799999999996</v>
      </c>
      <c r="P595" t="str">
        <f>IF(TBL_Employees[[#This Row],[Age]]&gt;50,"Senior","Junior")</f>
        <v>Junior</v>
      </c>
      <c r="Q595" s="14" t="str">
        <f>IF(OR(D595="IT", J595&gt;100000), "YES", "NO")</f>
        <v>YES</v>
      </c>
      <c r="R595" s="14">
        <f>YEAR(TBL_Employees[[#This Row],[Hire Date]])</f>
        <v>2020</v>
      </c>
    </row>
    <row r="596" spans="1:18" x14ac:dyDescent="0.35">
      <c r="A596" t="s">
        <v>1235</v>
      </c>
      <c r="B596" t="s">
        <v>1236</v>
      </c>
      <c r="C596" t="s">
        <v>80</v>
      </c>
      <c r="D596" t="s">
        <v>17</v>
      </c>
      <c r="E596" t="s">
        <v>26</v>
      </c>
      <c r="F596" t="s">
        <v>27</v>
      </c>
      <c r="G596" t="s">
        <v>28</v>
      </c>
      <c r="H596">
        <v>37</v>
      </c>
      <c r="I596" s="5">
        <v>40719</v>
      </c>
      <c r="J596" s="11">
        <v>221592</v>
      </c>
      <c r="K596" s="6">
        <v>0.31</v>
      </c>
      <c r="L596" t="s">
        <v>21</v>
      </c>
      <c r="M596" t="s">
        <v>89</v>
      </c>
      <c r="N596" s="5" t="s">
        <v>31</v>
      </c>
      <c r="O596">
        <f>TBL_Employees[[#This Row],[Bonus %]]*TBL_Employees[[#This Row],[Annual Salary]]</f>
        <v>68693.52</v>
      </c>
      <c r="P596" t="str">
        <f>IF(TBL_Employees[[#This Row],[Age]]&gt;50,"Senior","Junior")</f>
        <v>Junior</v>
      </c>
      <c r="Q596" s="14" t="str">
        <f>IF(OR(D596="IT", J596&gt;100000), "YES", "NO")</f>
        <v>YES</v>
      </c>
      <c r="R596" s="14">
        <f>YEAR(TBL_Employees[[#This Row],[Hire Date]])</f>
        <v>2011</v>
      </c>
    </row>
    <row r="597" spans="1:18" x14ac:dyDescent="0.35">
      <c r="A597" t="s">
        <v>1237</v>
      </c>
      <c r="B597" t="s">
        <v>1238</v>
      </c>
      <c r="C597" t="s">
        <v>165</v>
      </c>
      <c r="D597" t="s">
        <v>66</v>
      </c>
      <c r="E597" t="s">
        <v>26</v>
      </c>
      <c r="F597" t="s">
        <v>19</v>
      </c>
      <c r="G597" t="s">
        <v>28</v>
      </c>
      <c r="H597">
        <v>44</v>
      </c>
      <c r="I597" s="5">
        <v>39841</v>
      </c>
      <c r="J597" s="11">
        <v>53301</v>
      </c>
      <c r="K597" s="6">
        <v>0</v>
      </c>
      <c r="L597" t="s">
        <v>21</v>
      </c>
      <c r="M597" t="s">
        <v>22</v>
      </c>
      <c r="N597" s="5" t="s">
        <v>31</v>
      </c>
      <c r="O597">
        <f>TBL_Employees[[#This Row],[Bonus %]]*TBL_Employees[[#This Row],[Annual Salary]]</f>
        <v>0</v>
      </c>
      <c r="P597" t="str">
        <f>IF(TBL_Employees[[#This Row],[Age]]&gt;50,"Senior","Junior")</f>
        <v>Junior</v>
      </c>
      <c r="Q597" s="14" t="str">
        <f>IF(OR(D597="IT", J597&gt;100000), "YES", "NO")</f>
        <v>NO</v>
      </c>
      <c r="R597" s="14">
        <f>YEAR(TBL_Employees[[#This Row],[Hire Date]])</f>
        <v>2009</v>
      </c>
    </row>
    <row r="598" spans="1:18" x14ac:dyDescent="0.35">
      <c r="A598" t="s">
        <v>1239</v>
      </c>
      <c r="B598" t="s">
        <v>1240</v>
      </c>
      <c r="C598" t="s">
        <v>208</v>
      </c>
      <c r="D598" t="s">
        <v>17</v>
      </c>
      <c r="E598" t="s">
        <v>50</v>
      </c>
      <c r="F598" t="s">
        <v>27</v>
      </c>
      <c r="G598" t="s">
        <v>28</v>
      </c>
      <c r="H598">
        <v>45</v>
      </c>
      <c r="I598" s="5">
        <v>36587</v>
      </c>
      <c r="J598" s="11">
        <v>91276</v>
      </c>
      <c r="K598" s="6">
        <v>0</v>
      </c>
      <c r="L598" t="s">
        <v>21</v>
      </c>
      <c r="M598" t="s">
        <v>22</v>
      </c>
      <c r="N598" s="5" t="s">
        <v>31</v>
      </c>
      <c r="O598">
        <f>TBL_Employees[[#This Row],[Bonus %]]*TBL_Employees[[#This Row],[Annual Salary]]</f>
        <v>0</v>
      </c>
      <c r="P598" t="str">
        <f>IF(TBL_Employees[[#This Row],[Age]]&gt;50,"Senior","Junior")</f>
        <v>Junior</v>
      </c>
      <c r="Q598" s="14" t="str">
        <f>IF(OR(D598="IT", J598&gt;100000), "YES", "NO")</f>
        <v>YES</v>
      </c>
      <c r="R598" s="14">
        <f>YEAR(TBL_Employees[[#This Row],[Hire Date]])</f>
        <v>2000</v>
      </c>
    </row>
    <row r="599" spans="1:18" x14ac:dyDescent="0.35">
      <c r="A599" t="s">
        <v>1241</v>
      </c>
      <c r="B599" t="s">
        <v>1242</v>
      </c>
      <c r="C599" t="s">
        <v>16</v>
      </c>
      <c r="D599" t="s">
        <v>66</v>
      </c>
      <c r="E599" t="s">
        <v>18</v>
      </c>
      <c r="F599" t="s">
        <v>19</v>
      </c>
      <c r="G599" t="s">
        <v>28</v>
      </c>
      <c r="H599">
        <v>52</v>
      </c>
      <c r="I599" s="5">
        <v>42983</v>
      </c>
      <c r="J599" s="11">
        <v>140042</v>
      </c>
      <c r="K599" s="6">
        <v>0.13</v>
      </c>
      <c r="L599" t="s">
        <v>21</v>
      </c>
      <c r="M599" t="s">
        <v>61</v>
      </c>
      <c r="N599" s="5" t="s">
        <v>31</v>
      </c>
      <c r="O599">
        <f>TBL_Employees[[#This Row],[Bonus %]]*TBL_Employees[[#This Row],[Annual Salary]]</f>
        <v>18205.46</v>
      </c>
      <c r="P599" t="str">
        <f>IF(TBL_Employees[[#This Row],[Age]]&gt;50,"Senior","Junior")</f>
        <v>Senior</v>
      </c>
      <c r="Q599" s="14" t="str">
        <f>IF(OR(D599="IT", J599&gt;100000), "YES", "NO")</f>
        <v>YES</v>
      </c>
      <c r="R599" s="14">
        <f>YEAR(TBL_Employees[[#This Row],[Hire Date]])</f>
        <v>2017</v>
      </c>
    </row>
    <row r="600" spans="1:18" x14ac:dyDescent="0.35">
      <c r="A600" t="s">
        <v>311</v>
      </c>
      <c r="B600" t="s">
        <v>1243</v>
      </c>
      <c r="C600" t="s">
        <v>56</v>
      </c>
      <c r="D600" t="s">
        <v>60</v>
      </c>
      <c r="E600" t="s">
        <v>26</v>
      </c>
      <c r="F600" t="s">
        <v>19</v>
      </c>
      <c r="G600" t="s">
        <v>28</v>
      </c>
      <c r="H600">
        <v>40</v>
      </c>
      <c r="I600" s="5">
        <v>43440</v>
      </c>
      <c r="J600" s="11">
        <v>57225</v>
      </c>
      <c r="K600" s="6">
        <v>0</v>
      </c>
      <c r="L600" t="s">
        <v>21</v>
      </c>
      <c r="M600" t="s">
        <v>89</v>
      </c>
      <c r="N600" s="5" t="s">
        <v>31</v>
      </c>
      <c r="O600">
        <f>TBL_Employees[[#This Row],[Bonus %]]*TBL_Employees[[#This Row],[Annual Salary]]</f>
        <v>0</v>
      </c>
      <c r="P600" t="str">
        <f>IF(TBL_Employees[[#This Row],[Age]]&gt;50,"Senior","Junior")</f>
        <v>Junior</v>
      </c>
      <c r="Q600" s="14" t="str">
        <f>IF(OR(D600="IT", J600&gt;100000), "YES", "NO")</f>
        <v>NO</v>
      </c>
      <c r="R600" s="14">
        <f>YEAR(TBL_Employees[[#This Row],[Hire Date]])</f>
        <v>2018</v>
      </c>
    </row>
    <row r="601" spans="1:18" x14ac:dyDescent="0.35">
      <c r="A601" t="s">
        <v>1244</v>
      </c>
      <c r="B601" t="s">
        <v>1245</v>
      </c>
      <c r="C601" t="s">
        <v>53</v>
      </c>
      <c r="D601" t="s">
        <v>66</v>
      </c>
      <c r="E601" t="s">
        <v>36</v>
      </c>
      <c r="F601" t="s">
        <v>19</v>
      </c>
      <c r="G601" t="s">
        <v>86</v>
      </c>
      <c r="H601">
        <v>55</v>
      </c>
      <c r="I601" s="5">
        <v>40233</v>
      </c>
      <c r="J601" s="11">
        <v>102839</v>
      </c>
      <c r="K601" s="6">
        <v>0.05</v>
      </c>
      <c r="L601" t="s">
        <v>21</v>
      </c>
      <c r="M601" t="s">
        <v>57</v>
      </c>
      <c r="N601" s="5" t="s">
        <v>31</v>
      </c>
      <c r="O601">
        <f>TBL_Employees[[#This Row],[Bonus %]]*TBL_Employees[[#This Row],[Annual Salary]]</f>
        <v>5141.9500000000007</v>
      </c>
      <c r="P601" t="str">
        <f>IF(TBL_Employees[[#This Row],[Age]]&gt;50,"Senior","Junior")</f>
        <v>Senior</v>
      </c>
      <c r="Q601" s="14" t="str">
        <f>IF(OR(D601="IT", J601&gt;100000), "YES", "NO")</f>
        <v>YES</v>
      </c>
      <c r="R601" s="14">
        <f>YEAR(TBL_Employees[[#This Row],[Hire Date]])</f>
        <v>2010</v>
      </c>
    </row>
    <row r="602" spans="1:18" x14ac:dyDescent="0.35">
      <c r="A602" t="s">
        <v>1246</v>
      </c>
      <c r="B602" t="s">
        <v>1247</v>
      </c>
      <c r="C602" t="s">
        <v>34</v>
      </c>
      <c r="D602" t="s">
        <v>81</v>
      </c>
      <c r="E602" t="s">
        <v>18</v>
      </c>
      <c r="F602" t="s">
        <v>27</v>
      </c>
      <c r="G602" t="s">
        <v>28</v>
      </c>
      <c r="H602">
        <v>29</v>
      </c>
      <c r="I602" s="5">
        <v>44454</v>
      </c>
      <c r="J602" s="11">
        <v>199783</v>
      </c>
      <c r="K602" s="6">
        <v>0.21</v>
      </c>
      <c r="L602" t="s">
        <v>21</v>
      </c>
      <c r="M602" t="s">
        <v>38</v>
      </c>
      <c r="N602" s="5">
        <v>44661</v>
      </c>
      <c r="O602">
        <f>TBL_Employees[[#This Row],[Bonus %]]*TBL_Employees[[#This Row],[Annual Salary]]</f>
        <v>41954.43</v>
      </c>
      <c r="P602" t="str">
        <f>IF(TBL_Employees[[#This Row],[Age]]&gt;50,"Senior","Junior")</f>
        <v>Junior</v>
      </c>
      <c r="Q602" s="14" t="str">
        <f>IF(OR(D602="IT", J602&gt;100000), "YES", "NO")</f>
        <v>YES</v>
      </c>
      <c r="R602" s="14">
        <f>YEAR(TBL_Employees[[#This Row],[Hire Date]])</f>
        <v>2021</v>
      </c>
    </row>
    <row r="603" spans="1:18" x14ac:dyDescent="0.35">
      <c r="A603" t="s">
        <v>1248</v>
      </c>
      <c r="B603" t="s">
        <v>1249</v>
      </c>
      <c r="C603" t="s">
        <v>144</v>
      </c>
      <c r="D603" t="s">
        <v>66</v>
      </c>
      <c r="E603" t="s">
        <v>18</v>
      </c>
      <c r="F603" t="s">
        <v>27</v>
      </c>
      <c r="G603" t="s">
        <v>86</v>
      </c>
      <c r="H603">
        <v>32</v>
      </c>
      <c r="I603" s="5">
        <v>44295</v>
      </c>
      <c r="J603" s="11">
        <v>70980</v>
      </c>
      <c r="K603" s="6">
        <v>0</v>
      </c>
      <c r="L603" t="s">
        <v>94</v>
      </c>
      <c r="M603" t="s">
        <v>100</v>
      </c>
      <c r="N603" s="5" t="s">
        <v>31</v>
      </c>
      <c r="O603">
        <f>TBL_Employees[[#This Row],[Bonus %]]*TBL_Employees[[#This Row],[Annual Salary]]</f>
        <v>0</v>
      </c>
      <c r="P603" t="str">
        <f>IF(TBL_Employees[[#This Row],[Age]]&gt;50,"Senior","Junior")</f>
        <v>Junior</v>
      </c>
      <c r="Q603" s="14" t="str">
        <f>IF(OR(D603="IT", J603&gt;100000), "YES", "NO")</f>
        <v>NO</v>
      </c>
      <c r="R603" s="14">
        <f>YEAR(TBL_Employees[[#This Row],[Hire Date]])</f>
        <v>2021</v>
      </c>
    </row>
    <row r="604" spans="1:18" x14ac:dyDescent="0.35">
      <c r="A604" t="s">
        <v>1250</v>
      </c>
      <c r="B604" t="s">
        <v>1251</v>
      </c>
      <c r="C604" t="s">
        <v>53</v>
      </c>
      <c r="D604" t="s">
        <v>81</v>
      </c>
      <c r="E604" t="s">
        <v>50</v>
      </c>
      <c r="F604" t="s">
        <v>27</v>
      </c>
      <c r="G604" t="s">
        <v>37</v>
      </c>
      <c r="H604">
        <v>51</v>
      </c>
      <c r="I604" s="5">
        <v>35456</v>
      </c>
      <c r="J604" s="11">
        <v>104431</v>
      </c>
      <c r="K604" s="6">
        <v>7.0000000000000007E-2</v>
      </c>
      <c r="L604" t="s">
        <v>21</v>
      </c>
      <c r="M604" t="s">
        <v>45</v>
      </c>
      <c r="N604" s="5" t="s">
        <v>31</v>
      </c>
      <c r="O604">
        <f>TBL_Employees[[#This Row],[Bonus %]]*TBL_Employees[[#This Row],[Annual Salary]]</f>
        <v>7310.170000000001</v>
      </c>
      <c r="P604" t="str">
        <f>IF(TBL_Employees[[#This Row],[Age]]&gt;50,"Senior","Junior")</f>
        <v>Senior</v>
      </c>
      <c r="Q604" s="14" t="str">
        <f>IF(OR(D604="IT", J604&gt;100000), "YES", "NO")</f>
        <v>YES</v>
      </c>
      <c r="R604" s="14">
        <f>YEAR(TBL_Employees[[#This Row],[Hire Date]])</f>
        <v>1997</v>
      </c>
    </row>
    <row r="605" spans="1:18" x14ac:dyDescent="0.35">
      <c r="A605" t="s">
        <v>1252</v>
      </c>
      <c r="B605" t="s">
        <v>1253</v>
      </c>
      <c r="C605" t="s">
        <v>185</v>
      </c>
      <c r="D605" t="s">
        <v>66</v>
      </c>
      <c r="E605" t="s">
        <v>36</v>
      </c>
      <c r="F605" t="s">
        <v>27</v>
      </c>
      <c r="G605" t="s">
        <v>37</v>
      </c>
      <c r="H605">
        <v>28</v>
      </c>
      <c r="I605" s="5">
        <v>44374</v>
      </c>
      <c r="J605" s="11">
        <v>48510</v>
      </c>
      <c r="K605" s="6">
        <v>0</v>
      </c>
      <c r="L605" t="s">
        <v>21</v>
      </c>
      <c r="M605" t="s">
        <v>38</v>
      </c>
      <c r="N605" s="5" t="s">
        <v>31</v>
      </c>
      <c r="O605">
        <f>TBL_Employees[[#This Row],[Bonus %]]*TBL_Employees[[#This Row],[Annual Salary]]</f>
        <v>0</v>
      </c>
      <c r="P605" t="str">
        <f>IF(TBL_Employees[[#This Row],[Age]]&gt;50,"Senior","Junior")</f>
        <v>Junior</v>
      </c>
      <c r="Q605" s="14" t="str">
        <f>IF(OR(D605="IT", J605&gt;100000), "YES", "NO")</f>
        <v>NO</v>
      </c>
      <c r="R605" s="14">
        <f>YEAR(TBL_Employees[[#This Row],[Hire Date]])</f>
        <v>2021</v>
      </c>
    </row>
    <row r="606" spans="1:18" x14ac:dyDescent="0.35">
      <c r="A606" t="s">
        <v>1254</v>
      </c>
      <c r="B606" t="s">
        <v>1255</v>
      </c>
      <c r="C606" t="s">
        <v>109</v>
      </c>
      <c r="D606" t="s">
        <v>70</v>
      </c>
      <c r="E606" t="s">
        <v>36</v>
      </c>
      <c r="F606" t="s">
        <v>27</v>
      </c>
      <c r="G606" t="s">
        <v>20</v>
      </c>
      <c r="H606">
        <v>27</v>
      </c>
      <c r="I606" s="5">
        <v>43613</v>
      </c>
      <c r="J606" s="11">
        <v>70110</v>
      </c>
      <c r="K606" s="6">
        <v>0</v>
      </c>
      <c r="L606" t="s">
        <v>21</v>
      </c>
      <c r="M606" t="s">
        <v>57</v>
      </c>
      <c r="N606" s="5">
        <v>44203</v>
      </c>
      <c r="O606">
        <f>TBL_Employees[[#This Row],[Bonus %]]*TBL_Employees[[#This Row],[Annual Salary]]</f>
        <v>0</v>
      </c>
      <c r="P606" t="str">
        <f>IF(TBL_Employees[[#This Row],[Age]]&gt;50,"Senior","Junior")</f>
        <v>Junior</v>
      </c>
      <c r="Q606" s="14" t="str">
        <f>IF(OR(D606="IT", J606&gt;100000), "YES", "NO")</f>
        <v>NO</v>
      </c>
      <c r="R606" s="14">
        <f>YEAR(TBL_Employees[[#This Row],[Hire Date]])</f>
        <v>2019</v>
      </c>
    </row>
    <row r="607" spans="1:18" x14ac:dyDescent="0.35">
      <c r="A607" t="s">
        <v>1256</v>
      </c>
      <c r="B607" t="s">
        <v>1257</v>
      </c>
      <c r="C607" t="s">
        <v>34</v>
      </c>
      <c r="D607" t="s">
        <v>81</v>
      </c>
      <c r="E607" t="s">
        <v>50</v>
      </c>
      <c r="F607" t="s">
        <v>27</v>
      </c>
      <c r="G607" t="s">
        <v>28</v>
      </c>
      <c r="H607">
        <v>45</v>
      </c>
      <c r="I607" s="5">
        <v>39519</v>
      </c>
      <c r="J607" s="11">
        <v>186138</v>
      </c>
      <c r="K607" s="6">
        <v>0.28000000000000003</v>
      </c>
      <c r="L607" t="s">
        <v>29</v>
      </c>
      <c r="M607" t="s">
        <v>30</v>
      </c>
      <c r="N607" s="5" t="s">
        <v>31</v>
      </c>
      <c r="O607">
        <f>TBL_Employees[[#This Row],[Bonus %]]*TBL_Employees[[#This Row],[Annual Salary]]</f>
        <v>52118.640000000007</v>
      </c>
      <c r="P607" t="str">
        <f>IF(TBL_Employees[[#This Row],[Age]]&gt;50,"Senior","Junior")</f>
        <v>Junior</v>
      </c>
      <c r="Q607" s="14" t="str">
        <f>IF(OR(D607="IT", J607&gt;100000), "YES", "NO")</f>
        <v>YES</v>
      </c>
      <c r="R607" s="14">
        <f>YEAR(TBL_Employees[[#This Row],[Hire Date]])</f>
        <v>2008</v>
      </c>
    </row>
    <row r="608" spans="1:18" x14ac:dyDescent="0.35">
      <c r="A608" t="s">
        <v>1258</v>
      </c>
      <c r="B608" t="s">
        <v>1259</v>
      </c>
      <c r="C608" t="s">
        <v>56</v>
      </c>
      <c r="D608" t="s">
        <v>60</v>
      </c>
      <c r="E608" t="s">
        <v>26</v>
      </c>
      <c r="F608" t="s">
        <v>27</v>
      </c>
      <c r="G608" t="s">
        <v>86</v>
      </c>
      <c r="H608">
        <v>58</v>
      </c>
      <c r="I608" s="5">
        <v>40287</v>
      </c>
      <c r="J608" s="11">
        <v>56350</v>
      </c>
      <c r="K608" s="6">
        <v>0</v>
      </c>
      <c r="L608" t="s">
        <v>94</v>
      </c>
      <c r="M608" t="s">
        <v>100</v>
      </c>
      <c r="N608" s="5" t="s">
        <v>31</v>
      </c>
      <c r="O608">
        <f>TBL_Employees[[#This Row],[Bonus %]]*TBL_Employees[[#This Row],[Annual Salary]]</f>
        <v>0</v>
      </c>
      <c r="P608" t="str">
        <f>IF(TBL_Employees[[#This Row],[Age]]&gt;50,"Senior","Junior")</f>
        <v>Senior</v>
      </c>
      <c r="Q608" s="14" t="str">
        <f>IF(OR(D608="IT", J608&gt;100000), "YES", "NO")</f>
        <v>NO</v>
      </c>
      <c r="R608" s="14">
        <f>YEAR(TBL_Employees[[#This Row],[Hire Date]])</f>
        <v>2010</v>
      </c>
    </row>
    <row r="609" spans="1:18" x14ac:dyDescent="0.35">
      <c r="A609" t="s">
        <v>354</v>
      </c>
      <c r="B609" t="s">
        <v>1260</v>
      </c>
      <c r="C609" t="s">
        <v>16</v>
      </c>
      <c r="D609" t="s">
        <v>35</v>
      </c>
      <c r="E609" t="s">
        <v>18</v>
      </c>
      <c r="F609" t="s">
        <v>19</v>
      </c>
      <c r="G609" t="s">
        <v>86</v>
      </c>
      <c r="H609">
        <v>45</v>
      </c>
      <c r="I609" s="5">
        <v>42379</v>
      </c>
      <c r="J609" s="11">
        <v>149761</v>
      </c>
      <c r="K609" s="6">
        <v>0.12</v>
      </c>
      <c r="L609" t="s">
        <v>21</v>
      </c>
      <c r="M609" t="s">
        <v>89</v>
      </c>
      <c r="N609" s="5" t="s">
        <v>31</v>
      </c>
      <c r="O609">
        <f>TBL_Employees[[#This Row],[Bonus %]]*TBL_Employees[[#This Row],[Annual Salary]]</f>
        <v>17971.32</v>
      </c>
      <c r="P609" t="str">
        <f>IF(TBL_Employees[[#This Row],[Age]]&gt;50,"Senior","Junior")</f>
        <v>Junior</v>
      </c>
      <c r="Q609" s="14" t="str">
        <f>IF(OR(D609="IT", J609&gt;100000), "YES", "NO")</f>
        <v>YES</v>
      </c>
      <c r="R609" s="14">
        <f>YEAR(TBL_Employees[[#This Row],[Hire Date]])</f>
        <v>2016</v>
      </c>
    </row>
    <row r="610" spans="1:18" x14ac:dyDescent="0.35">
      <c r="A610" t="s">
        <v>1261</v>
      </c>
      <c r="B610" t="s">
        <v>1262</v>
      </c>
      <c r="C610" t="s">
        <v>16</v>
      </c>
      <c r="D610" t="s">
        <v>35</v>
      </c>
      <c r="E610" t="s">
        <v>50</v>
      </c>
      <c r="F610" t="s">
        <v>27</v>
      </c>
      <c r="G610" t="s">
        <v>86</v>
      </c>
      <c r="H610">
        <v>44</v>
      </c>
      <c r="I610" s="5">
        <v>39305</v>
      </c>
      <c r="J610" s="11">
        <v>126277</v>
      </c>
      <c r="K610" s="6">
        <v>0.13</v>
      </c>
      <c r="L610" t="s">
        <v>94</v>
      </c>
      <c r="M610" t="s">
        <v>95</v>
      </c>
      <c r="N610" s="5" t="s">
        <v>31</v>
      </c>
      <c r="O610">
        <f>TBL_Employees[[#This Row],[Bonus %]]*TBL_Employees[[#This Row],[Annual Salary]]</f>
        <v>16416.010000000002</v>
      </c>
      <c r="P610" t="str">
        <f>IF(TBL_Employees[[#This Row],[Age]]&gt;50,"Senior","Junior")</f>
        <v>Junior</v>
      </c>
      <c r="Q610" s="14" t="str">
        <f>IF(OR(D610="IT", J610&gt;100000), "YES", "NO")</f>
        <v>YES</v>
      </c>
      <c r="R610" s="14">
        <f>YEAR(TBL_Employees[[#This Row],[Hire Date]])</f>
        <v>2007</v>
      </c>
    </row>
    <row r="611" spans="1:18" x14ac:dyDescent="0.35">
      <c r="A611" t="s">
        <v>1263</v>
      </c>
      <c r="B611" t="s">
        <v>1264</v>
      </c>
      <c r="C611" t="s">
        <v>53</v>
      </c>
      <c r="D611" t="s">
        <v>49</v>
      </c>
      <c r="E611" t="s">
        <v>36</v>
      </c>
      <c r="F611" t="s">
        <v>27</v>
      </c>
      <c r="G611" t="s">
        <v>37</v>
      </c>
      <c r="H611">
        <v>33</v>
      </c>
      <c r="I611" s="5">
        <v>41446</v>
      </c>
      <c r="J611" s="11">
        <v>119631</v>
      </c>
      <c r="K611" s="6">
        <v>0.06</v>
      </c>
      <c r="L611" t="s">
        <v>21</v>
      </c>
      <c r="M611" t="s">
        <v>45</v>
      </c>
      <c r="N611" s="5" t="s">
        <v>31</v>
      </c>
      <c r="O611">
        <f>TBL_Employees[[#This Row],[Bonus %]]*TBL_Employees[[#This Row],[Annual Salary]]</f>
        <v>7177.86</v>
      </c>
      <c r="P611" t="str">
        <f>IF(TBL_Employees[[#This Row],[Age]]&gt;50,"Senior","Junior")</f>
        <v>Junior</v>
      </c>
      <c r="Q611" s="14" t="str">
        <f>IF(OR(D611="IT", J611&gt;100000), "YES", "NO")</f>
        <v>YES</v>
      </c>
      <c r="R611" s="14">
        <f>YEAR(TBL_Employees[[#This Row],[Hire Date]])</f>
        <v>2013</v>
      </c>
    </row>
    <row r="612" spans="1:18" x14ac:dyDescent="0.35">
      <c r="A612" t="s">
        <v>1265</v>
      </c>
      <c r="B612" t="s">
        <v>1266</v>
      </c>
      <c r="C612" t="s">
        <v>80</v>
      </c>
      <c r="D612" t="s">
        <v>17</v>
      </c>
      <c r="E612" t="s">
        <v>18</v>
      </c>
      <c r="F612" t="s">
        <v>27</v>
      </c>
      <c r="G612" t="s">
        <v>28</v>
      </c>
      <c r="H612">
        <v>26</v>
      </c>
      <c r="I612" s="5">
        <v>43960</v>
      </c>
      <c r="J612" s="11">
        <v>256561</v>
      </c>
      <c r="K612" s="6">
        <v>0.39</v>
      </c>
      <c r="L612" t="s">
        <v>21</v>
      </c>
      <c r="M612" t="s">
        <v>61</v>
      </c>
      <c r="N612" s="5" t="s">
        <v>31</v>
      </c>
      <c r="O612">
        <f>TBL_Employees[[#This Row],[Bonus %]]*TBL_Employees[[#This Row],[Annual Salary]]</f>
        <v>100058.79000000001</v>
      </c>
      <c r="P612" t="str">
        <f>IF(TBL_Employees[[#This Row],[Age]]&gt;50,"Senior","Junior")</f>
        <v>Junior</v>
      </c>
      <c r="Q612" s="14" t="str">
        <f>IF(OR(D612="IT", J612&gt;100000), "YES", "NO")</f>
        <v>YES</v>
      </c>
      <c r="R612" s="14">
        <f>YEAR(TBL_Employees[[#This Row],[Hire Date]])</f>
        <v>2020</v>
      </c>
    </row>
    <row r="613" spans="1:18" x14ac:dyDescent="0.35">
      <c r="A613" t="s">
        <v>1267</v>
      </c>
      <c r="B613" t="s">
        <v>1268</v>
      </c>
      <c r="C613" t="s">
        <v>373</v>
      </c>
      <c r="D613" t="s">
        <v>17</v>
      </c>
      <c r="E613" t="s">
        <v>36</v>
      </c>
      <c r="F613" t="s">
        <v>19</v>
      </c>
      <c r="G613" t="s">
        <v>86</v>
      </c>
      <c r="H613">
        <v>45</v>
      </c>
      <c r="I613" s="5">
        <v>43937</v>
      </c>
      <c r="J613" s="11">
        <v>66958</v>
      </c>
      <c r="K613" s="6">
        <v>0</v>
      </c>
      <c r="L613" t="s">
        <v>21</v>
      </c>
      <c r="M613" t="s">
        <v>57</v>
      </c>
      <c r="N613" s="5" t="s">
        <v>31</v>
      </c>
      <c r="O613">
        <f>TBL_Employees[[#This Row],[Bonus %]]*TBL_Employees[[#This Row],[Annual Salary]]</f>
        <v>0</v>
      </c>
      <c r="P613" t="str">
        <f>IF(TBL_Employees[[#This Row],[Age]]&gt;50,"Senior","Junior")</f>
        <v>Junior</v>
      </c>
      <c r="Q613" s="14" t="str">
        <f>IF(OR(D613="IT", J613&gt;100000), "YES", "NO")</f>
        <v>YES</v>
      </c>
      <c r="R613" s="14">
        <f>YEAR(TBL_Employees[[#This Row],[Hire Date]])</f>
        <v>2020</v>
      </c>
    </row>
    <row r="614" spans="1:18" x14ac:dyDescent="0.35">
      <c r="A614" t="s">
        <v>71</v>
      </c>
      <c r="B614" t="s">
        <v>1269</v>
      </c>
      <c r="C614" t="s">
        <v>16</v>
      </c>
      <c r="D614" t="s">
        <v>49</v>
      </c>
      <c r="E614" t="s">
        <v>26</v>
      </c>
      <c r="F614" t="s">
        <v>19</v>
      </c>
      <c r="G614" t="s">
        <v>28</v>
      </c>
      <c r="H614">
        <v>46</v>
      </c>
      <c r="I614" s="5">
        <v>38046</v>
      </c>
      <c r="J614" s="11">
        <v>158897</v>
      </c>
      <c r="K614" s="6">
        <v>0.1</v>
      </c>
      <c r="L614" t="s">
        <v>29</v>
      </c>
      <c r="M614" t="s">
        <v>30</v>
      </c>
      <c r="N614" s="5" t="s">
        <v>31</v>
      </c>
      <c r="O614">
        <f>TBL_Employees[[#This Row],[Bonus %]]*TBL_Employees[[#This Row],[Annual Salary]]</f>
        <v>15889.7</v>
      </c>
      <c r="P614" t="str">
        <f>IF(TBL_Employees[[#This Row],[Age]]&gt;50,"Senior","Junior")</f>
        <v>Junior</v>
      </c>
      <c r="Q614" s="14" t="str">
        <f>IF(OR(D614="IT", J614&gt;100000), "YES", "NO")</f>
        <v>YES</v>
      </c>
      <c r="R614" s="14">
        <f>YEAR(TBL_Employees[[#This Row],[Hire Date]])</f>
        <v>2004</v>
      </c>
    </row>
    <row r="615" spans="1:18" x14ac:dyDescent="0.35">
      <c r="A615" t="s">
        <v>196</v>
      </c>
      <c r="B615" t="s">
        <v>1270</v>
      </c>
      <c r="C615" t="s">
        <v>25</v>
      </c>
      <c r="D615" t="s">
        <v>17</v>
      </c>
      <c r="E615" t="s">
        <v>50</v>
      </c>
      <c r="F615" t="s">
        <v>27</v>
      </c>
      <c r="G615" t="s">
        <v>37</v>
      </c>
      <c r="H615">
        <v>37</v>
      </c>
      <c r="I615" s="5">
        <v>39493</v>
      </c>
      <c r="J615" s="11">
        <v>71695</v>
      </c>
      <c r="K615" s="6">
        <v>0</v>
      </c>
      <c r="L615" t="s">
        <v>21</v>
      </c>
      <c r="M615" t="s">
        <v>45</v>
      </c>
      <c r="N615" s="5" t="s">
        <v>31</v>
      </c>
      <c r="O615">
        <f>TBL_Employees[[#This Row],[Bonus %]]*TBL_Employees[[#This Row],[Annual Salary]]</f>
        <v>0</v>
      </c>
      <c r="P615" t="str">
        <f>IF(TBL_Employees[[#This Row],[Age]]&gt;50,"Senior","Junior")</f>
        <v>Junior</v>
      </c>
      <c r="Q615" s="14" t="str">
        <f>IF(OR(D615="IT", J615&gt;100000), "YES", "NO")</f>
        <v>YES</v>
      </c>
      <c r="R615" s="14">
        <f>YEAR(TBL_Employees[[#This Row],[Hire Date]])</f>
        <v>2008</v>
      </c>
    </row>
    <row r="616" spans="1:18" x14ac:dyDescent="0.35">
      <c r="A616" t="s">
        <v>1271</v>
      </c>
      <c r="B616" t="s">
        <v>1272</v>
      </c>
      <c r="C616" t="s">
        <v>44</v>
      </c>
      <c r="D616" t="s">
        <v>81</v>
      </c>
      <c r="E616" t="s">
        <v>50</v>
      </c>
      <c r="F616" t="s">
        <v>27</v>
      </c>
      <c r="G616" t="s">
        <v>28</v>
      </c>
      <c r="H616">
        <v>40</v>
      </c>
      <c r="I616" s="5">
        <v>41904</v>
      </c>
      <c r="J616" s="11">
        <v>73779</v>
      </c>
      <c r="K616" s="6">
        <v>0</v>
      </c>
      <c r="L616" t="s">
        <v>29</v>
      </c>
      <c r="M616" t="s">
        <v>30</v>
      </c>
      <c r="N616" s="5">
        <v>43594</v>
      </c>
      <c r="O616">
        <f>TBL_Employees[[#This Row],[Bonus %]]*TBL_Employees[[#This Row],[Annual Salary]]</f>
        <v>0</v>
      </c>
      <c r="P616" t="str">
        <f>IF(TBL_Employees[[#This Row],[Age]]&gt;50,"Senior","Junior")</f>
        <v>Junior</v>
      </c>
      <c r="Q616" s="14" t="str">
        <f>IF(OR(D616="IT", J616&gt;100000), "YES", "NO")</f>
        <v>NO</v>
      </c>
      <c r="R616" s="14">
        <f>YEAR(TBL_Employees[[#This Row],[Hire Date]])</f>
        <v>2014</v>
      </c>
    </row>
    <row r="617" spans="1:18" x14ac:dyDescent="0.35">
      <c r="A617" t="s">
        <v>1273</v>
      </c>
      <c r="B617" t="s">
        <v>1274</v>
      </c>
      <c r="C617" t="s">
        <v>53</v>
      </c>
      <c r="D617" t="s">
        <v>49</v>
      </c>
      <c r="E617" t="s">
        <v>36</v>
      </c>
      <c r="F617" t="s">
        <v>19</v>
      </c>
      <c r="G617" t="s">
        <v>28</v>
      </c>
      <c r="H617">
        <v>45</v>
      </c>
      <c r="I617" s="5">
        <v>40836</v>
      </c>
      <c r="J617" s="11">
        <v>123640</v>
      </c>
      <c r="K617" s="6">
        <v>7.0000000000000007E-2</v>
      </c>
      <c r="L617" t="s">
        <v>29</v>
      </c>
      <c r="M617" t="s">
        <v>75</v>
      </c>
      <c r="N617" s="5" t="s">
        <v>31</v>
      </c>
      <c r="O617">
        <f>TBL_Employees[[#This Row],[Bonus %]]*TBL_Employees[[#This Row],[Annual Salary]]</f>
        <v>8654.8000000000011</v>
      </c>
      <c r="P617" t="str">
        <f>IF(TBL_Employees[[#This Row],[Age]]&gt;50,"Senior","Junior")</f>
        <v>Junior</v>
      </c>
      <c r="Q617" s="14" t="str">
        <f>IF(OR(D617="IT", J617&gt;100000), "YES", "NO")</f>
        <v>YES</v>
      </c>
      <c r="R617" s="14">
        <f>YEAR(TBL_Employees[[#This Row],[Hire Date]])</f>
        <v>2011</v>
      </c>
    </row>
    <row r="618" spans="1:18" x14ac:dyDescent="0.35">
      <c r="A618" t="s">
        <v>1199</v>
      </c>
      <c r="B618" t="s">
        <v>1275</v>
      </c>
      <c r="C618" t="s">
        <v>56</v>
      </c>
      <c r="D618" t="s">
        <v>49</v>
      </c>
      <c r="E618" t="s">
        <v>36</v>
      </c>
      <c r="F618" t="s">
        <v>19</v>
      </c>
      <c r="G618" t="s">
        <v>37</v>
      </c>
      <c r="H618">
        <v>33</v>
      </c>
      <c r="I618" s="5">
        <v>41742</v>
      </c>
      <c r="J618" s="11">
        <v>46878</v>
      </c>
      <c r="K618" s="6">
        <v>0</v>
      </c>
      <c r="L618" t="s">
        <v>21</v>
      </c>
      <c r="M618" t="s">
        <v>57</v>
      </c>
      <c r="N618" s="5" t="s">
        <v>31</v>
      </c>
      <c r="O618">
        <f>TBL_Employees[[#This Row],[Bonus %]]*TBL_Employees[[#This Row],[Annual Salary]]</f>
        <v>0</v>
      </c>
      <c r="P618" t="str">
        <f>IF(TBL_Employees[[#This Row],[Age]]&gt;50,"Senior","Junior")</f>
        <v>Junior</v>
      </c>
      <c r="Q618" s="14" t="str">
        <f>IF(OR(D618="IT", J618&gt;100000), "YES", "NO")</f>
        <v>NO</v>
      </c>
      <c r="R618" s="14">
        <f>YEAR(TBL_Employees[[#This Row],[Hire Date]])</f>
        <v>2014</v>
      </c>
    </row>
    <row r="619" spans="1:18" x14ac:dyDescent="0.35">
      <c r="A619" t="s">
        <v>1276</v>
      </c>
      <c r="B619" t="s">
        <v>1277</v>
      </c>
      <c r="C619" t="s">
        <v>56</v>
      </c>
      <c r="D619" t="s">
        <v>81</v>
      </c>
      <c r="E619" t="s">
        <v>36</v>
      </c>
      <c r="F619" t="s">
        <v>19</v>
      </c>
      <c r="G619" t="s">
        <v>37</v>
      </c>
      <c r="H619">
        <v>64</v>
      </c>
      <c r="I619" s="5">
        <v>37662</v>
      </c>
      <c r="J619" s="11">
        <v>57032</v>
      </c>
      <c r="K619" s="6">
        <v>0</v>
      </c>
      <c r="L619" t="s">
        <v>21</v>
      </c>
      <c r="M619" t="s">
        <v>57</v>
      </c>
      <c r="N619" s="5" t="s">
        <v>31</v>
      </c>
      <c r="O619">
        <f>TBL_Employees[[#This Row],[Bonus %]]*TBL_Employees[[#This Row],[Annual Salary]]</f>
        <v>0</v>
      </c>
      <c r="P619" t="str">
        <f>IF(TBL_Employees[[#This Row],[Age]]&gt;50,"Senior","Junior")</f>
        <v>Senior</v>
      </c>
      <c r="Q619" s="14" t="str">
        <f>IF(OR(D619="IT", J619&gt;100000), "YES", "NO")</f>
        <v>NO</v>
      </c>
      <c r="R619" s="14">
        <f>YEAR(TBL_Employees[[#This Row],[Hire Date]])</f>
        <v>2003</v>
      </c>
    </row>
    <row r="620" spans="1:18" x14ac:dyDescent="0.35">
      <c r="A620" t="s">
        <v>1278</v>
      </c>
      <c r="B620" t="s">
        <v>1279</v>
      </c>
      <c r="C620" t="s">
        <v>44</v>
      </c>
      <c r="D620" t="s">
        <v>49</v>
      </c>
      <c r="E620" t="s">
        <v>26</v>
      </c>
      <c r="F620" t="s">
        <v>19</v>
      </c>
      <c r="G620" t="s">
        <v>86</v>
      </c>
      <c r="H620">
        <v>57</v>
      </c>
      <c r="I620" s="5">
        <v>39357</v>
      </c>
      <c r="J620" s="11">
        <v>98150</v>
      </c>
      <c r="K620" s="6">
        <v>0</v>
      </c>
      <c r="L620" t="s">
        <v>94</v>
      </c>
      <c r="M620" t="s">
        <v>100</v>
      </c>
      <c r="N620" s="5" t="s">
        <v>31</v>
      </c>
      <c r="O620">
        <f>TBL_Employees[[#This Row],[Bonus %]]*TBL_Employees[[#This Row],[Annual Salary]]</f>
        <v>0</v>
      </c>
      <c r="P620" t="str">
        <f>IF(TBL_Employees[[#This Row],[Age]]&gt;50,"Senior","Junior")</f>
        <v>Senior</v>
      </c>
      <c r="Q620" s="14" t="str">
        <f>IF(OR(D620="IT", J620&gt;100000), "YES", "NO")</f>
        <v>NO</v>
      </c>
      <c r="R620" s="14">
        <f>YEAR(TBL_Employees[[#This Row],[Hire Date]])</f>
        <v>2007</v>
      </c>
    </row>
    <row r="621" spans="1:18" x14ac:dyDescent="0.35">
      <c r="A621" t="s">
        <v>1280</v>
      </c>
      <c r="B621" t="s">
        <v>1281</v>
      </c>
      <c r="C621" t="s">
        <v>34</v>
      </c>
      <c r="D621" t="s">
        <v>81</v>
      </c>
      <c r="E621" t="s">
        <v>26</v>
      </c>
      <c r="F621" t="s">
        <v>19</v>
      </c>
      <c r="G621" t="s">
        <v>28</v>
      </c>
      <c r="H621">
        <v>35</v>
      </c>
      <c r="I621" s="5">
        <v>42800</v>
      </c>
      <c r="J621" s="11">
        <v>171426</v>
      </c>
      <c r="K621" s="6">
        <v>0.15</v>
      </c>
      <c r="L621" t="s">
        <v>29</v>
      </c>
      <c r="M621" t="s">
        <v>115</v>
      </c>
      <c r="N621" s="5">
        <v>43000</v>
      </c>
      <c r="O621">
        <f>TBL_Employees[[#This Row],[Bonus %]]*TBL_Employees[[#This Row],[Annual Salary]]</f>
        <v>25713.899999999998</v>
      </c>
      <c r="P621" t="str">
        <f>IF(TBL_Employees[[#This Row],[Age]]&gt;50,"Senior","Junior")</f>
        <v>Junior</v>
      </c>
      <c r="Q621" s="14" t="str">
        <f>IF(OR(D621="IT", J621&gt;100000), "YES", "NO")</f>
        <v>YES</v>
      </c>
      <c r="R621" s="14">
        <f>YEAR(TBL_Employees[[#This Row],[Hire Date]])</f>
        <v>2017</v>
      </c>
    </row>
    <row r="622" spans="1:18" x14ac:dyDescent="0.35">
      <c r="A622" t="s">
        <v>42</v>
      </c>
      <c r="B622" t="s">
        <v>1282</v>
      </c>
      <c r="C622" t="s">
        <v>56</v>
      </c>
      <c r="D622" t="s">
        <v>35</v>
      </c>
      <c r="E622" t="s">
        <v>26</v>
      </c>
      <c r="F622" t="s">
        <v>19</v>
      </c>
      <c r="G622" t="s">
        <v>37</v>
      </c>
      <c r="H622">
        <v>55</v>
      </c>
      <c r="I622" s="5">
        <v>44302</v>
      </c>
      <c r="J622" s="11">
        <v>48266</v>
      </c>
      <c r="K622" s="6">
        <v>0</v>
      </c>
      <c r="L622" t="s">
        <v>21</v>
      </c>
      <c r="M622" t="s">
        <v>38</v>
      </c>
      <c r="N622" s="5" t="s">
        <v>31</v>
      </c>
      <c r="O622">
        <f>TBL_Employees[[#This Row],[Bonus %]]*TBL_Employees[[#This Row],[Annual Salary]]</f>
        <v>0</v>
      </c>
      <c r="P622" t="str">
        <f>IF(TBL_Employees[[#This Row],[Age]]&gt;50,"Senior","Junior")</f>
        <v>Senior</v>
      </c>
      <c r="Q622" s="14" t="str">
        <f>IF(OR(D622="IT", J622&gt;100000), "YES", "NO")</f>
        <v>NO</v>
      </c>
      <c r="R622" s="14">
        <f>YEAR(TBL_Employees[[#This Row],[Hire Date]])</f>
        <v>2021</v>
      </c>
    </row>
    <row r="623" spans="1:18" x14ac:dyDescent="0.35">
      <c r="A623" t="s">
        <v>1283</v>
      </c>
      <c r="B623" t="s">
        <v>1284</v>
      </c>
      <c r="C623" t="s">
        <v>80</v>
      </c>
      <c r="D623" t="s">
        <v>35</v>
      </c>
      <c r="E623" t="s">
        <v>18</v>
      </c>
      <c r="F623" t="s">
        <v>27</v>
      </c>
      <c r="G623" t="s">
        <v>86</v>
      </c>
      <c r="H623">
        <v>36</v>
      </c>
      <c r="I623" s="5">
        <v>43330</v>
      </c>
      <c r="J623" s="11">
        <v>223404</v>
      </c>
      <c r="K623" s="6">
        <v>0.32</v>
      </c>
      <c r="L623" t="s">
        <v>21</v>
      </c>
      <c r="M623" t="s">
        <v>89</v>
      </c>
      <c r="N623" s="5" t="s">
        <v>31</v>
      </c>
      <c r="O623">
        <f>TBL_Employees[[#This Row],[Bonus %]]*TBL_Employees[[#This Row],[Annual Salary]]</f>
        <v>71489.279999999999</v>
      </c>
      <c r="P623" t="str">
        <f>IF(TBL_Employees[[#This Row],[Age]]&gt;50,"Senior","Junior")</f>
        <v>Junior</v>
      </c>
      <c r="Q623" s="14" t="str">
        <f>IF(OR(D623="IT", J623&gt;100000), "YES", "NO")</f>
        <v>YES</v>
      </c>
      <c r="R623" s="14">
        <f>YEAR(TBL_Employees[[#This Row],[Hire Date]])</f>
        <v>2018</v>
      </c>
    </row>
    <row r="624" spans="1:18" x14ac:dyDescent="0.35">
      <c r="A624" t="s">
        <v>1285</v>
      </c>
      <c r="B624" t="s">
        <v>1286</v>
      </c>
      <c r="C624" t="s">
        <v>300</v>
      </c>
      <c r="D624" t="s">
        <v>17</v>
      </c>
      <c r="E624" t="s">
        <v>36</v>
      </c>
      <c r="F624" t="s">
        <v>19</v>
      </c>
      <c r="G624" t="s">
        <v>28</v>
      </c>
      <c r="H624">
        <v>57</v>
      </c>
      <c r="I624" s="5">
        <v>41649</v>
      </c>
      <c r="J624" s="11">
        <v>74854</v>
      </c>
      <c r="K624" s="6">
        <v>0</v>
      </c>
      <c r="L624" t="s">
        <v>21</v>
      </c>
      <c r="M624" t="s">
        <v>22</v>
      </c>
      <c r="N624" s="5" t="s">
        <v>31</v>
      </c>
      <c r="O624">
        <f>TBL_Employees[[#This Row],[Bonus %]]*TBL_Employees[[#This Row],[Annual Salary]]</f>
        <v>0</v>
      </c>
      <c r="P624" t="str">
        <f>IF(TBL_Employees[[#This Row],[Age]]&gt;50,"Senior","Junior")</f>
        <v>Senior</v>
      </c>
      <c r="Q624" s="14" t="str">
        <f>IF(OR(D624="IT", J624&gt;100000), "YES", "NO")</f>
        <v>YES</v>
      </c>
      <c r="R624" s="14">
        <f>YEAR(TBL_Employees[[#This Row],[Hire Date]])</f>
        <v>2014</v>
      </c>
    </row>
    <row r="625" spans="1:18" x14ac:dyDescent="0.35">
      <c r="A625" t="s">
        <v>1287</v>
      </c>
      <c r="B625" t="s">
        <v>1288</v>
      </c>
      <c r="C625" t="s">
        <v>80</v>
      </c>
      <c r="D625" t="s">
        <v>60</v>
      </c>
      <c r="E625" t="s">
        <v>36</v>
      </c>
      <c r="F625" t="s">
        <v>19</v>
      </c>
      <c r="G625" t="s">
        <v>37</v>
      </c>
      <c r="H625">
        <v>48</v>
      </c>
      <c r="I625" s="5">
        <v>39197</v>
      </c>
      <c r="J625" s="11">
        <v>217783</v>
      </c>
      <c r="K625" s="6">
        <v>0.36</v>
      </c>
      <c r="L625" t="s">
        <v>21</v>
      </c>
      <c r="M625" t="s">
        <v>22</v>
      </c>
      <c r="N625" s="5" t="s">
        <v>31</v>
      </c>
      <c r="O625">
        <f>TBL_Employees[[#This Row],[Bonus %]]*TBL_Employees[[#This Row],[Annual Salary]]</f>
        <v>78401.87999999999</v>
      </c>
      <c r="P625" t="str">
        <f>IF(TBL_Employees[[#This Row],[Age]]&gt;50,"Senior","Junior")</f>
        <v>Junior</v>
      </c>
      <c r="Q625" s="14" t="str">
        <f>IF(OR(D625="IT", J625&gt;100000), "YES", "NO")</f>
        <v>YES</v>
      </c>
      <c r="R625" s="14">
        <f>YEAR(TBL_Employees[[#This Row],[Hire Date]])</f>
        <v>2007</v>
      </c>
    </row>
    <row r="626" spans="1:18" x14ac:dyDescent="0.35">
      <c r="A626" t="s">
        <v>1289</v>
      </c>
      <c r="B626" t="s">
        <v>1290</v>
      </c>
      <c r="C626" t="s">
        <v>331</v>
      </c>
      <c r="D626" t="s">
        <v>17</v>
      </c>
      <c r="E626" t="s">
        <v>26</v>
      </c>
      <c r="F626" t="s">
        <v>19</v>
      </c>
      <c r="G626" t="s">
        <v>86</v>
      </c>
      <c r="H626">
        <v>53</v>
      </c>
      <c r="I626" s="5">
        <v>38214</v>
      </c>
      <c r="J626" s="11">
        <v>44735</v>
      </c>
      <c r="K626" s="6">
        <v>0</v>
      </c>
      <c r="L626" t="s">
        <v>94</v>
      </c>
      <c r="M626" t="s">
        <v>95</v>
      </c>
      <c r="N626" s="5" t="s">
        <v>31</v>
      </c>
      <c r="O626">
        <f>TBL_Employees[[#This Row],[Bonus %]]*TBL_Employees[[#This Row],[Annual Salary]]</f>
        <v>0</v>
      </c>
      <c r="P626" t="str">
        <f>IF(TBL_Employees[[#This Row],[Age]]&gt;50,"Senior","Junior")</f>
        <v>Senior</v>
      </c>
      <c r="Q626" s="14" t="str">
        <f>IF(OR(D626="IT", J626&gt;100000), "YES", "NO")</f>
        <v>YES</v>
      </c>
      <c r="R626" s="14">
        <f>YEAR(TBL_Employees[[#This Row],[Hire Date]])</f>
        <v>2004</v>
      </c>
    </row>
    <row r="627" spans="1:18" x14ac:dyDescent="0.35">
      <c r="A627" t="s">
        <v>1291</v>
      </c>
      <c r="B627" t="s">
        <v>1292</v>
      </c>
      <c r="C627" t="s">
        <v>125</v>
      </c>
      <c r="D627" t="s">
        <v>35</v>
      </c>
      <c r="E627" t="s">
        <v>26</v>
      </c>
      <c r="F627" t="s">
        <v>19</v>
      </c>
      <c r="G627" t="s">
        <v>37</v>
      </c>
      <c r="H627">
        <v>41</v>
      </c>
      <c r="I627" s="5">
        <v>39091</v>
      </c>
      <c r="J627" s="11">
        <v>50685</v>
      </c>
      <c r="K627" s="6">
        <v>0</v>
      </c>
      <c r="L627" t="s">
        <v>21</v>
      </c>
      <c r="M627" t="s">
        <v>89</v>
      </c>
      <c r="N627" s="5" t="s">
        <v>31</v>
      </c>
      <c r="O627">
        <f>TBL_Employees[[#This Row],[Bonus %]]*TBL_Employees[[#This Row],[Annual Salary]]</f>
        <v>0</v>
      </c>
      <c r="P627" t="str">
        <f>IF(TBL_Employees[[#This Row],[Age]]&gt;50,"Senior","Junior")</f>
        <v>Junior</v>
      </c>
      <c r="Q627" s="14" t="str">
        <f>IF(OR(D627="IT", J627&gt;100000), "YES", "NO")</f>
        <v>NO</v>
      </c>
      <c r="R627" s="14">
        <f>YEAR(TBL_Employees[[#This Row],[Hire Date]])</f>
        <v>2007</v>
      </c>
    </row>
    <row r="628" spans="1:18" x14ac:dyDescent="0.35">
      <c r="A628" t="s">
        <v>1293</v>
      </c>
      <c r="B628" t="s">
        <v>1294</v>
      </c>
      <c r="C628" t="s">
        <v>125</v>
      </c>
      <c r="D628" t="s">
        <v>49</v>
      </c>
      <c r="E628" t="s">
        <v>18</v>
      </c>
      <c r="F628" t="s">
        <v>27</v>
      </c>
      <c r="G628" t="s">
        <v>28</v>
      </c>
      <c r="H628">
        <v>34</v>
      </c>
      <c r="I628" s="5">
        <v>43169</v>
      </c>
      <c r="J628" s="11">
        <v>58993</v>
      </c>
      <c r="K628" s="6">
        <v>0</v>
      </c>
      <c r="L628" t="s">
        <v>21</v>
      </c>
      <c r="M628" t="s">
        <v>61</v>
      </c>
      <c r="N628" s="5" t="s">
        <v>31</v>
      </c>
      <c r="O628">
        <f>TBL_Employees[[#This Row],[Bonus %]]*TBL_Employees[[#This Row],[Annual Salary]]</f>
        <v>0</v>
      </c>
      <c r="P628" t="str">
        <f>IF(TBL_Employees[[#This Row],[Age]]&gt;50,"Senior","Junior")</f>
        <v>Junior</v>
      </c>
      <c r="Q628" s="14" t="str">
        <f>IF(OR(D628="IT", J628&gt;100000), "YES", "NO")</f>
        <v>NO</v>
      </c>
      <c r="R628" s="14">
        <f>YEAR(TBL_Employees[[#This Row],[Hire Date]])</f>
        <v>2018</v>
      </c>
    </row>
    <row r="629" spans="1:18" x14ac:dyDescent="0.35">
      <c r="A629" t="s">
        <v>1295</v>
      </c>
      <c r="B629" t="s">
        <v>1296</v>
      </c>
      <c r="C629" t="s">
        <v>182</v>
      </c>
      <c r="D629" t="s">
        <v>70</v>
      </c>
      <c r="E629" t="s">
        <v>50</v>
      </c>
      <c r="F629" t="s">
        <v>27</v>
      </c>
      <c r="G629" t="s">
        <v>37</v>
      </c>
      <c r="H629">
        <v>47</v>
      </c>
      <c r="I629" s="5">
        <v>43990</v>
      </c>
      <c r="J629" s="11">
        <v>115765</v>
      </c>
      <c r="K629" s="6">
        <v>0</v>
      </c>
      <c r="L629" t="s">
        <v>21</v>
      </c>
      <c r="M629" t="s">
        <v>57</v>
      </c>
      <c r="N629" s="5">
        <v>44229</v>
      </c>
      <c r="O629">
        <f>TBL_Employees[[#This Row],[Bonus %]]*TBL_Employees[[#This Row],[Annual Salary]]</f>
        <v>0</v>
      </c>
      <c r="P629" t="str">
        <f>IF(TBL_Employees[[#This Row],[Age]]&gt;50,"Senior","Junior")</f>
        <v>Junior</v>
      </c>
      <c r="Q629" s="14" t="str">
        <f>IF(OR(D629="IT", J629&gt;100000), "YES", "NO")</f>
        <v>YES</v>
      </c>
      <c r="R629" s="14">
        <f>YEAR(TBL_Employees[[#This Row],[Hire Date]])</f>
        <v>2020</v>
      </c>
    </row>
    <row r="630" spans="1:18" x14ac:dyDescent="0.35">
      <c r="A630" t="s">
        <v>1297</v>
      </c>
      <c r="B630" t="s">
        <v>1298</v>
      </c>
      <c r="C630" t="s">
        <v>34</v>
      </c>
      <c r="D630" t="s">
        <v>60</v>
      </c>
      <c r="E630" t="s">
        <v>26</v>
      </c>
      <c r="F630" t="s">
        <v>19</v>
      </c>
      <c r="G630" t="s">
        <v>28</v>
      </c>
      <c r="H630">
        <v>63</v>
      </c>
      <c r="I630" s="5">
        <v>39147</v>
      </c>
      <c r="J630" s="11">
        <v>193044</v>
      </c>
      <c r="K630" s="6">
        <v>0.15</v>
      </c>
      <c r="L630" t="s">
        <v>21</v>
      </c>
      <c r="M630" t="s">
        <v>57</v>
      </c>
      <c r="N630" s="5" t="s">
        <v>31</v>
      </c>
      <c r="O630">
        <f>TBL_Employees[[#This Row],[Bonus %]]*TBL_Employees[[#This Row],[Annual Salary]]</f>
        <v>28956.6</v>
      </c>
      <c r="P630" t="str">
        <f>IF(TBL_Employees[[#This Row],[Age]]&gt;50,"Senior","Junior")</f>
        <v>Senior</v>
      </c>
      <c r="Q630" s="14" t="str">
        <f>IF(OR(D630="IT", J630&gt;100000), "YES", "NO")</f>
        <v>YES</v>
      </c>
      <c r="R630" s="14">
        <f>YEAR(TBL_Employees[[#This Row],[Hire Date]])</f>
        <v>2007</v>
      </c>
    </row>
    <row r="631" spans="1:18" x14ac:dyDescent="0.35">
      <c r="A631" t="s">
        <v>1299</v>
      </c>
      <c r="B631" t="s">
        <v>1300</v>
      </c>
      <c r="C631" t="s">
        <v>56</v>
      </c>
      <c r="D631" t="s">
        <v>81</v>
      </c>
      <c r="E631" t="s">
        <v>18</v>
      </c>
      <c r="F631" t="s">
        <v>19</v>
      </c>
      <c r="G631" t="s">
        <v>20</v>
      </c>
      <c r="H631">
        <v>65</v>
      </c>
      <c r="I631" s="5">
        <v>40711</v>
      </c>
      <c r="J631" s="11">
        <v>56686</v>
      </c>
      <c r="K631" s="6">
        <v>0</v>
      </c>
      <c r="L631" t="s">
        <v>21</v>
      </c>
      <c r="M631" t="s">
        <v>22</v>
      </c>
      <c r="N631" s="5">
        <v>42164</v>
      </c>
      <c r="O631">
        <f>TBL_Employees[[#This Row],[Bonus %]]*TBL_Employees[[#This Row],[Annual Salary]]</f>
        <v>0</v>
      </c>
      <c r="P631" t="str">
        <f>IF(TBL_Employees[[#This Row],[Age]]&gt;50,"Senior","Junior")</f>
        <v>Senior</v>
      </c>
      <c r="Q631" s="14" t="str">
        <f>IF(OR(D631="IT", J631&gt;100000), "YES", "NO")</f>
        <v>NO</v>
      </c>
      <c r="R631" s="14">
        <f>YEAR(TBL_Employees[[#This Row],[Hire Date]])</f>
        <v>2011</v>
      </c>
    </row>
    <row r="632" spans="1:18" x14ac:dyDescent="0.35">
      <c r="A632" t="s">
        <v>1301</v>
      </c>
      <c r="B632" t="s">
        <v>1302</v>
      </c>
      <c r="C632" t="s">
        <v>16</v>
      </c>
      <c r="D632" t="s">
        <v>35</v>
      </c>
      <c r="E632" t="s">
        <v>26</v>
      </c>
      <c r="F632" t="s">
        <v>19</v>
      </c>
      <c r="G632" t="s">
        <v>20</v>
      </c>
      <c r="H632">
        <v>33</v>
      </c>
      <c r="I632" s="5">
        <v>43763</v>
      </c>
      <c r="J632" s="11">
        <v>131652</v>
      </c>
      <c r="K632" s="6">
        <v>0.11</v>
      </c>
      <c r="L632" t="s">
        <v>21</v>
      </c>
      <c r="M632" t="s">
        <v>22</v>
      </c>
      <c r="N632" s="5" t="s">
        <v>31</v>
      </c>
      <c r="O632">
        <f>TBL_Employees[[#This Row],[Bonus %]]*TBL_Employees[[#This Row],[Annual Salary]]</f>
        <v>14481.72</v>
      </c>
      <c r="P632" t="str">
        <f>IF(TBL_Employees[[#This Row],[Age]]&gt;50,"Senior","Junior")</f>
        <v>Junior</v>
      </c>
      <c r="Q632" s="14" t="str">
        <f>IF(OR(D632="IT", J632&gt;100000), "YES", "NO")</f>
        <v>YES</v>
      </c>
      <c r="R632" s="14">
        <f>YEAR(TBL_Employees[[#This Row],[Hire Date]])</f>
        <v>2019</v>
      </c>
    </row>
    <row r="633" spans="1:18" x14ac:dyDescent="0.35">
      <c r="A633" t="s">
        <v>1303</v>
      </c>
      <c r="B633" t="s">
        <v>1304</v>
      </c>
      <c r="C633" t="s">
        <v>34</v>
      </c>
      <c r="D633" t="s">
        <v>81</v>
      </c>
      <c r="E633" t="s">
        <v>26</v>
      </c>
      <c r="F633" t="s">
        <v>19</v>
      </c>
      <c r="G633" t="s">
        <v>20</v>
      </c>
      <c r="H633">
        <v>45</v>
      </c>
      <c r="I633" s="5">
        <v>39507</v>
      </c>
      <c r="J633" s="11">
        <v>150577</v>
      </c>
      <c r="K633" s="6">
        <v>0.25</v>
      </c>
      <c r="L633" t="s">
        <v>21</v>
      </c>
      <c r="M633" t="s">
        <v>57</v>
      </c>
      <c r="N633" s="5" t="s">
        <v>31</v>
      </c>
      <c r="O633">
        <f>TBL_Employees[[#This Row],[Bonus %]]*TBL_Employees[[#This Row],[Annual Salary]]</f>
        <v>37644.25</v>
      </c>
      <c r="P633" t="str">
        <f>IF(TBL_Employees[[#This Row],[Age]]&gt;50,"Senior","Junior")</f>
        <v>Junior</v>
      </c>
      <c r="Q633" s="14" t="str">
        <f>IF(OR(D633="IT", J633&gt;100000), "YES", "NO")</f>
        <v>YES</v>
      </c>
      <c r="R633" s="14">
        <f>YEAR(TBL_Employees[[#This Row],[Hire Date]])</f>
        <v>2008</v>
      </c>
    </row>
    <row r="634" spans="1:18" x14ac:dyDescent="0.35">
      <c r="A634" t="s">
        <v>551</v>
      </c>
      <c r="B634" t="s">
        <v>1305</v>
      </c>
      <c r="C634" t="s">
        <v>114</v>
      </c>
      <c r="D634" t="s">
        <v>70</v>
      </c>
      <c r="E634" t="s">
        <v>18</v>
      </c>
      <c r="F634" t="s">
        <v>19</v>
      </c>
      <c r="G634" t="s">
        <v>86</v>
      </c>
      <c r="H634">
        <v>37</v>
      </c>
      <c r="I634" s="5">
        <v>43461</v>
      </c>
      <c r="J634" s="11">
        <v>87359</v>
      </c>
      <c r="K634" s="6">
        <v>0.11</v>
      </c>
      <c r="L634" t="s">
        <v>94</v>
      </c>
      <c r="M634" t="s">
        <v>100</v>
      </c>
      <c r="N634" s="5" t="s">
        <v>31</v>
      </c>
      <c r="O634">
        <f>TBL_Employees[[#This Row],[Bonus %]]*TBL_Employees[[#This Row],[Annual Salary]]</f>
        <v>9609.49</v>
      </c>
      <c r="P634" t="str">
        <f>IF(TBL_Employees[[#This Row],[Age]]&gt;50,"Senior","Junior")</f>
        <v>Junior</v>
      </c>
      <c r="Q634" s="14" t="str">
        <f>IF(OR(D634="IT", J634&gt;100000), "YES", "NO")</f>
        <v>NO</v>
      </c>
      <c r="R634" s="14">
        <f>YEAR(TBL_Employees[[#This Row],[Hire Date]])</f>
        <v>2018</v>
      </c>
    </row>
    <row r="635" spans="1:18" x14ac:dyDescent="0.35">
      <c r="A635" t="s">
        <v>1306</v>
      </c>
      <c r="B635" t="s">
        <v>1307</v>
      </c>
      <c r="C635" t="s">
        <v>125</v>
      </c>
      <c r="D635" t="s">
        <v>49</v>
      </c>
      <c r="E635" t="s">
        <v>36</v>
      </c>
      <c r="F635" t="s">
        <v>19</v>
      </c>
      <c r="G635" t="s">
        <v>28</v>
      </c>
      <c r="H635">
        <v>60</v>
      </c>
      <c r="I635" s="5">
        <v>41647</v>
      </c>
      <c r="J635" s="11">
        <v>51877</v>
      </c>
      <c r="K635" s="6">
        <v>0</v>
      </c>
      <c r="L635" t="s">
        <v>29</v>
      </c>
      <c r="M635" t="s">
        <v>115</v>
      </c>
      <c r="N635" s="5" t="s">
        <v>31</v>
      </c>
      <c r="O635">
        <f>TBL_Employees[[#This Row],[Bonus %]]*TBL_Employees[[#This Row],[Annual Salary]]</f>
        <v>0</v>
      </c>
      <c r="P635" t="str">
        <f>IF(TBL_Employees[[#This Row],[Age]]&gt;50,"Senior","Junior")</f>
        <v>Senior</v>
      </c>
      <c r="Q635" s="14" t="str">
        <f>IF(OR(D635="IT", J635&gt;100000), "YES", "NO")</f>
        <v>NO</v>
      </c>
      <c r="R635" s="14">
        <f>YEAR(TBL_Employees[[#This Row],[Hire Date]])</f>
        <v>2014</v>
      </c>
    </row>
    <row r="636" spans="1:18" x14ac:dyDescent="0.35">
      <c r="A636" t="s">
        <v>270</v>
      </c>
      <c r="B636" t="s">
        <v>1308</v>
      </c>
      <c r="C636" t="s">
        <v>373</v>
      </c>
      <c r="D636" t="s">
        <v>17</v>
      </c>
      <c r="E636" t="s">
        <v>26</v>
      </c>
      <c r="F636" t="s">
        <v>27</v>
      </c>
      <c r="G636" t="s">
        <v>28</v>
      </c>
      <c r="H636">
        <v>43</v>
      </c>
      <c r="I636" s="5">
        <v>42753</v>
      </c>
      <c r="J636" s="11">
        <v>86417</v>
      </c>
      <c r="K636" s="6">
        <v>0</v>
      </c>
      <c r="L636" t="s">
        <v>21</v>
      </c>
      <c r="M636" t="s">
        <v>38</v>
      </c>
      <c r="N636" s="5" t="s">
        <v>31</v>
      </c>
      <c r="O636">
        <f>TBL_Employees[[#This Row],[Bonus %]]*TBL_Employees[[#This Row],[Annual Salary]]</f>
        <v>0</v>
      </c>
      <c r="P636" t="str">
        <f>IF(TBL_Employees[[#This Row],[Age]]&gt;50,"Senior","Junior")</f>
        <v>Junior</v>
      </c>
      <c r="Q636" s="14" t="str">
        <f>IF(OR(D636="IT", J636&gt;100000), "YES", "NO")</f>
        <v>YES</v>
      </c>
      <c r="R636" s="14">
        <f>YEAR(TBL_Employees[[#This Row],[Hire Date]])</f>
        <v>2017</v>
      </c>
    </row>
    <row r="637" spans="1:18" x14ac:dyDescent="0.35">
      <c r="A637" t="s">
        <v>1309</v>
      </c>
      <c r="B637" t="s">
        <v>1310</v>
      </c>
      <c r="C637" t="s">
        <v>300</v>
      </c>
      <c r="D637" t="s">
        <v>17</v>
      </c>
      <c r="E637" t="s">
        <v>18</v>
      </c>
      <c r="F637" t="s">
        <v>19</v>
      </c>
      <c r="G637" t="s">
        <v>28</v>
      </c>
      <c r="H637">
        <v>65</v>
      </c>
      <c r="I637" s="5">
        <v>37749</v>
      </c>
      <c r="J637" s="11">
        <v>96548</v>
      </c>
      <c r="K637" s="6">
        <v>0</v>
      </c>
      <c r="L637" t="s">
        <v>21</v>
      </c>
      <c r="M637" t="s">
        <v>61</v>
      </c>
      <c r="N637" s="5" t="s">
        <v>31</v>
      </c>
      <c r="O637">
        <f>TBL_Employees[[#This Row],[Bonus %]]*TBL_Employees[[#This Row],[Annual Salary]]</f>
        <v>0</v>
      </c>
      <c r="P637" t="str">
        <f>IF(TBL_Employees[[#This Row],[Age]]&gt;50,"Senior","Junior")</f>
        <v>Senior</v>
      </c>
      <c r="Q637" s="14" t="str">
        <f>IF(OR(D637="IT", J637&gt;100000), "YES", "NO")</f>
        <v>YES</v>
      </c>
      <c r="R637" s="14">
        <f>YEAR(TBL_Employees[[#This Row],[Hire Date]])</f>
        <v>2003</v>
      </c>
    </row>
    <row r="638" spans="1:18" x14ac:dyDescent="0.35">
      <c r="A638" t="s">
        <v>1311</v>
      </c>
      <c r="B638" t="s">
        <v>1312</v>
      </c>
      <c r="C638" t="s">
        <v>44</v>
      </c>
      <c r="D638" t="s">
        <v>60</v>
      </c>
      <c r="E638" t="s">
        <v>26</v>
      </c>
      <c r="F638" t="s">
        <v>19</v>
      </c>
      <c r="G638" t="s">
        <v>28</v>
      </c>
      <c r="H638">
        <v>43</v>
      </c>
      <c r="I638" s="5">
        <v>41662</v>
      </c>
      <c r="J638" s="11">
        <v>92940</v>
      </c>
      <c r="K638" s="6">
        <v>0</v>
      </c>
      <c r="L638" t="s">
        <v>29</v>
      </c>
      <c r="M638" t="s">
        <v>135</v>
      </c>
      <c r="N638" s="5" t="s">
        <v>31</v>
      </c>
      <c r="O638">
        <f>TBL_Employees[[#This Row],[Bonus %]]*TBL_Employees[[#This Row],[Annual Salary]]</f>
        <v>0</v>
      </c>
      <c r="P638" t="str">
        <f>IF(TBL_Employees[[#This Row],[Age]]&gt;50,"Senior","Junior")</f>
        <v>Junior</v>
      </c>
      <c r="Q638" s="14" t="str">
        <f>IF(OR(D638="IT", J638&gt;100000), "YES", "NO")</f>
        <v>NO</v>
      </c>
      <c r="R638" s="14">
        <f>YEAR(TBL_Employees[[#This Row],[Hire Date]])</f>
        <v>2014</v>
      </c>
    </row>
    <row r="639" spans="1:18" x14ac:dyDescent="0.35">
      <c r="A639" t="s">
        <v>972</v>
      </c>
      <c r="B639" t="s">
        <v>1313</v>
      </c>
      <c r="C639" t="s">
        <v>125</v>
      </c>
      <c r="D639" t="s">
        <v>60</v>
      </c>
      <c r="E639" t="s">
        <v>36</v>
      </c>
      <c r="F639" t="s">
        <v>27</v>
      </c>
      <c r="G639" t="s">
        <v>28</v>
      </c>
      <c r="H639">
        <v>28</v>
      </c>
      <c r="I639" s="5">
        <v>43336</v>
      </c>
      <c r="J639" s="11">
        <v>61410</v>
      </c>
      <c r="K639" s="6">
        <v>0</v>
      </c>
      <c r="L639" t="s">
        <v>21</v>
      </c>
      <c r="M639" t="s">
        <v>45</v>
      </c>
      <c r="N639" s="5" t="s">
        <v>31</v>
      </c>
      <c r="O639">
        <f>TBL_Employees[[#This Row],[Bonus %]]*TBL_Employees[[#This Row],[Annual Salary]]</f>
        <v>0</v>
      </c>
      <c r="P639" t="str">
        <f>IF(TBL_Employees[[#This Row],[Age]]&gt;50,"Senior","Junior")</f>
        <v>Junior</v>
      </c>
      <c r="Q639" s="14" t="str">
        <f>IF(OR(D639="IT", J639&gt;100000), "YES", "NO")</f>
        <v>NO</v>
      </c>
      <c r="R639" s="14">
        <f>YEAR(TBL_Employees[[#This Row],[Hire Date]])</f>
        <v>2018</v>
      </c>
    </row>
    <row r="640" spans="1:18" x14ac:dyDescent="0.35">
      <c r="A640" t="s">
        <v>1314</v>
      </c>
      <c r="B640" t="s">
        <v>1315</v>
      </c>
      <c r="C640" t="s">
        <v>53</v>
      </c>
      <c r="D640" t="s">
        <v>35</v>
      </c>
      <c r="E640" t="s">
        <v>36</v>
      </c>
      <c r="F640" t="s">
        <v>19</v>
      </c>
      <c r="G640" t="s">
        <v>20</v>
      </c>
      <c r="H640">
        <v>61</v>
      </c>
      <c r="I640" s="5">
        <v>40293</v>
      </c>
      <c r="J640" s="11">
        <v>110302</v>
      </c>
      <c r="K640" s="6">
        <v>0.06</v>
      </c>
      <c r="L640" t="s">
        <v>21</v>
      </c>
      <c r="M640" t="s">
        <v>57</v>
      </c>
      <c r="N640" s="5" t="s">
        <v>31</v>
      </c>
      <c r="O640">
        <f>TBL_Employees[[#This Row],[Bonus %]]*TBL_Employees[[#This Row],[Annual Salary]]</f>
        <v>6618.12</v>
      </c>
      <c r="P640" t="str">
        <f>IF(TBL_Employees[[#This Row],[Age]]&gt;50,"Senior","Junior")</f>
        <v>Senior</v>
      </c>
      <c r="Q640" s="14" t="str">
        <f>IF(OR(D640="IT", J640&gt;100000), "YES", "NO")</f>
        <v>YES</v>
      </c>
      <c r="R640" s="14">
        <f>YEAR(TBL_Employees[[#This Row],[Hire Date]])</f>
        <v>2010</v>
      </c>
    </row>
    <row r="641" spans="1:18" x14ac:dyDescent="0.35">
      <c r="A641" t="s">
        <v>1316</v>
      </c>
      <c r="B641" t="s">
        <v>1317</v>
      </c>
      <c r="C641" t="s">
        <v>34</v>
      </c>
      <c r="D641" t="s">
        <v>70</v>
      </c>
      <c r="E641" t="s">
        <v>36</v>
      </c>
      <c r="F641" t="s">
        <v>19</v>
      </c>
      <c r="G641" t="s">
        <v>20</v>
      </c>
      <c r="H641">
        <v>45</v>
      </c>
      <c r="I641" s="5">
        <v>43212</v>
      </c>
      <c r="J641" s="11">
        <v>187205</v>
      </c>
      <c r="K641" s="6">
        <v>0.24</v>
      </c>
      <c r="L641" t="s">
        <v>21</v>
      </c>
      <c r="M641" t="s">
        <v>89</v>
      </c>
      <c r="N641" s="5">
        <v>44732</v>
      </c>
      <c r="O641">
        <f>TBL_Employees[[#This Row],[Bonus %]]*TBL_Employees[[#This Row],[Annual Salary]]</f>
        <v>44929.2</v>
      </c>
      <c r="P641" t="str">
        <f>IF(TBL_Employees[[#This Row],[Age]]&gt;50,"Senior","Junior")</f>
        <v>Junior</v>
      </c>
      <c r="Q641" s="14" t="str">
        <f>IF(OR(D641="IT", J641&gt;100000), "YES", "NO")</f>
        <v>YES</v>
      </c>
      <c r="R641" s="14">
        <f>YEAR(TBL_Employees[[#This Row],[Hire Date]])</f>
        <v>2018</v>
      </c>
    </row>
    <row r="642" spans="1:18" x14ac:dyDescent="0.35">
      <c r="A642" t="s">
        <v>1318</v>
      </c>
      <c r="B642" t="s">
        <v>1319</v>
      </c>
      <c r="C642" t="s">
        <v>44</v>
      </c>
      <c r="D642" t="s">
        <v>49</v>
      </c>
      <c r="E642" t="s">
        <v>50</v>
      </c>
      <c r="F642" t="s">
        <v>27</v>
      </c>
      <c r="G642" t="s">
        <v>37</v>
      </c>
      <c r="H642">
        <v>45</v>
      </c>
      <c r="I642" s="5">
        <v>40618</v>
      </c>
      <c r="J642" s="11">
        <v>81687</v>
      </c>
      <c r="K642" s="6">
        <v>0</v>
      </c>
      <c r="L642" t="s">
        <v>21</v>
      </c>
      <c r="M642" t="s">
        <v>45</v>
      </c>
      <c r="N642" s="5" t="s">
        <v>31</v>
      </c>
      <c r="O642">
        <f>TBL_Employees[[#This Row],[Bonus %]]*TBL_Employees[[#This Row],[Annual Salary]]</f>
        <v>0</v>
      </c>
      <c r="P642" t="str">
        <f>IF(TBL_Employees[[#This Row],[Age]]&gt;50,"Senior","Junior")</f>
        <v>Junior</v>
      </c>
      <c r="Q642" s="14" t="str">
        <f>IF(OR(D642="IT", J642&gt;100000), "YES", "NO")</f>
        <v>NO</v>
      </c>
      <c r="R642" s="14">
        <f>YEAR(TBL_Employees[[#This Row],[Hire Date]])</f>
        <v>2011</v>
      </c>
    </row>
    <row r="643" spans="1:18" x14ac:dyDescent="0.35">
      <c r="A643" t="s">
        <v>1320</v>
      </c>
      <c r="B643" t="s">
        <v>1321</v>
      </c>
      <c r="C643" t="s">
        <v>80</v>
      </c>
      <c r="D643" t="s">
        <v>17</v>
      </c>
      <c r="E643" t="s">
        <v>36</v>
      </c>
      <c r="F643" t="s">
        <v>27</v>
      </c>
      <c r="G643" t="s">
        <v>86</v>
      </c>
      <c r="H643">
        <v>54</v>
      </c>
      <c r="I643" s="5">
        <v>40040</v>
      </c>
      <c r="J643" s="11">
        <v>241083</v>
      </c>
      <c r="K643" s="6">
        <v>0.39</v>
      </c>
      <c r="L643" t="s">
        <v>21</v>
      </c>
      <c r="M643" t="s">
        <v>89</v>
      </c>
      <c r="N643" s="5" t="s">
        <v>31</v>
      </c>
      <c r="O643">
        <f>TBL_Employees[[#This Row],[Bonus %]]*TBL_Employees[[#This Row],[Annual Salary]]</f>
        <v>94022.37000000001</v>
      </c>
      <c r="P643" t="str">
        <f>IF(TBL_Employees[[#This Row],[Age]]&gt;50,"Senior","Junior")</f>
        <v>Senior</v>
      </c>
      <c r="Q643" s="14" t="str">
        <f>IF(OR(D643="IT", J643&gt;100000), "YES", "NO")</f>
        <v>YES</v>
      </c>
      <c r="R643" s="14">
        <f>YEAR(TBL_Employees[[#This Row],[Hire Date]])</f>
        <v>2009</v>
      </c>
    </row>
    <row r="644" spans="1:18" x14ac:dyDescent="0.35">
      <c r="A644" t="s">
        <v>1322</v>
      </c>
      <c r="B644" t="s">
        <v>1323</v>
      </c>
      <c r="C644" t="s">
        <v>80</v>
      </c>
      <c r="D644" t="s">
        <v>35</v>
      </c>
      <c r="E644" t="s">
        <v>36</v>
      </c>
      <c r="F644" t="s">
        <v>19</v>
      </c>
      <c r="G644" t="s">
        <v>20</v>
      </c>
      <c r="H644">
        <v>38</v>
      </c>
      <c r="I644" s="5">
        <v>43413</v>
      </c>
      <c r="J644" s="11">
        <v>223805</v>
      </c>
      <c r="K644" s="6">
        <v>0.36</v>
      </c>
      <c r="L644" t="s">
        <v>21</v>
      </c>
      <c r="M644" t="s">
        <v>38</v>
      </c>
      <c r="N644" s="5" t="s">
        <v>31</v>
      </c>
      <c r="O644">
        <f>TBL_Employees[[#This Row],[Bonus %]]*TBL_Employees[[#This Row],[Annual Salary]]</f>
        <v>80569.8</v>
      </c>
      <c r="P644" t="str">
        <f>IF(TBL_Employees[[#This Row],[Age]]&gt;50,"Senior","Junior")</f>
        <v>Junior</v>
      </c>
      <c r="Q644" s="14" t="str">
        <f>IF(OR(D644="IT", J644&gt;100000), "YES", "NO")</f>
        <v>YES</v>
      </c>
      <c r="R644" s="14">
        <f>YEAR(TBL_Employees[[#This Row],[Hire Date]])</f>
        <v>2018</v>
      </c>
    </row>
    <row r="645" spans="1:18" x14ac:dyDescent="0.35">
      <c r="A645" t="s">
        <v>1324</v>
      </c>
      <c r="B645" t="s">
        <v>1325</v>
      </c>
      <c r="C645" t="s">
        <v>34</v>
      </c>
      <c r="D645" t="s">
        <v>60</v>
      </c>
      <c r="E645" t="s">
        <v>50</v>
      </c>
      <c r="F645" t="s">
        <v>19</v>
      </c>
      <c r="G645" t="s">
        <v>37</v>
      </c>
      <c r="H645">
        <v>27</v>
      </c>
      <c r="I645" s="5">
        <v>44393</v>
      </c>
      <c r="J645" s="11">
        <v>161759</v>
      </c>
      <c r="K645" s="6">
        <v>0.16</v>
      </c>
      <c r="L645" t="s">
        <v>21</v>
      </c>
      <c r="M645" t="s">
        <v>57</v>
      </c>
      <c r="N645" s="5" t="s">
        <v>31</v>
      </c>
      <c r="O645">
        <f>TBL_Employees[[#This Row],[Bonus %]]*TBL_Employees[[#This Row],[Annual Salary]]</f>
        <v>25881.440000000002</v>
      </c>
      <c r="P645" t="str">
        <f>IF(TBL_Employees[[#This Row],[Age]]&gt;50,"Senior","Junior")</f>
        <v>Junior</v>
      </c>
      <c r="Q645" s="14" t="str">
        <f>IF(OR(D645="IT", J645&gt;100000), "YES", "NO")</f>
        <v>YES</v>
      </c>
      <c r="R645" s="14">
        <f>YEAR(TBL_Employees[[#This Row],[Hire Date]])</f>
        <v>2021</v>
      </c>
    </row>
    <row r="646" spans="1:18" x14ac:dyDescent="0.35">
      <c r="A646" t="s">
        <v>1326</v>
      </c>
      <c r="B646" t="s">
        <v>1327</v>
      </c>
      <c r="C646" t="s">
        <v>41</v>
      </c>
      <c r="D646" t="s">
        <v>17</v>
      </c>
      <c r="E646" t="s">
        <v>18</v>
      </c>
      <c r="F646" t="s">
        <v>27</v>
      </c>
      <c r="G646" t="s">
        <v>20</v>
      </c>
      <c r="H646">
        <v>40</v>
      </c>
      <c r="I646" s="5">
        <v>43520</v>
      </c>
      <c r="J646" s="11">
        <v>95899</v>
      </c>
      <c r="K646" s="6">
        <v>0.1</v>
      </c>
      <c r="L646" t="s">
        <v>21</v>
      </c>
      <c r="M646" t="s">
        <v>89</v>
      </c>
      <c r="N646" s="5">
        <v>44263</v>
      </c>
      <c r="O646">
        <f>TBL_Employees[[#This Row],[Bonus %]]*TBL_Employees[[#This Row],[Annual Salary]]</f>
        <v>9589.9</v>
      </c>
      <c r="P646" t="str">
        <f>IF(TBL_Employees[[#This Row],[Age]]&gt;50,"Senior","Junior")</f>
        <v>Junior</v>
      </c>
      <c r="Q646" s="14" t="str">
        <f>IF(OR(D646="IT", J646&gt;100000), "YES", "NO")</f>
        <v>YES</v>
      </c>
      <c r="R646" s="14">
        <f>YEAR(TBL_Employees[[#This Row],[Hire Date]])</f>
        <v>2019</v>
      </c>
    </row>
    <row r="647" spans="1:18" x14ac:dyDescent="0.35">
      <c r="A647" t="s">
        <v>1328</v>
      </c>
      <c r="B647" t="s">
        <v>1329</v>
      </c>
      <c r="C647" t="s">
        <v>44</v>
      </c>
      <c r="D647" t="s">
        <v>35</v>
      </c>
      <c r="E647" t="s">
        <v>50</v>
      </c>
      <c r="F647" t="s">
        <v>27</v>
      </c>
      <c r="G647" t="s">
        <v>28</v>
      </c>
      <c r="H647">
        <v>49</v>
      </c>
      <c r="I647" s="5">
        <v>43623</v>
      </c>
      <c r="J647" s="11">
        <v>80700</v>
      </c>
      <c r="K647" s="6">
        <v>0</v>
      </c>
      <c r="L647" t="s">
        <v>21</v>
      </c>
      <c r="M647" t="s">
        <v>89</v>
      </c>
      <c r="N647" s="5" t="s">
        <v>31</v>
      </c>
      <c r="O647">
        <f>TBL_Employees[[#This Row],[Bonus %]]*TBL_Employees[[#This Row],[Annual Salary]]</f>
        <v>0</v>
      </c>
      <c r="P647" t="str">
        <f>IF(TBL_Employees[[#This Row],[Age]]&gt;50,"Senior","Junior")</f>
        <v>Junior</v>
      </c>
      <c r="Q647" s="14" t="str">
        <f>IF(OR(D647="IT", J647&gt;100000), "YES", "NO")</f>
        <v>NO</v>
      </c>
      <c r="R647" s="14">
        <f>YEAR(TBL_Employees[[#This Row],[Hire Date]])</f>
        <v>2019</v>
      </c>
    </row>
    <row r="648" spans="1:18" x14ac:dyDescent="0.35">
      <c r="A648" t="s">
        <v>774</v>
      </c>
      <c r="B648" t="s">
        <v>1330</v>
      </c>
      <c r="C648" t="s">
        <v>53</v>
      </c>
      <c r="D648" t="s">
        <v>66</v>
      </c>
      <c r="E648" t="s">
        <v>36</v>
      </c>
      <c r="F648" t="s">
        <v>27</v>
      </c>
      <c r="G648" t="s">
        <v>28</v>
      </c>
      <c r="H648">
        <v>54</v>
      </c>
      <c r="I648" s="5">
        <v>35500</v>
      </c>
      <c r="J648" s="11">
        <v>128136</v>
      </c>
      <c r="K648" s="6">
        <v>0.05</v>
      </c>
      <c r="L648" t="s">
        <v>29</v>
      </c>
      <c r="M648" t="s">
        <v>115</v>
      </c>
      <c r="N648" s="5" t="s">
        <v>31</v>
      </c>
      <c r="O648">
        <f>TBL_Employees[[#This Row],[Bonus %]]*TBL_Employees[[#This Row],[Annual Salary]]</f>
        <v>6406.8</v>
      </c>
      <c r="P648" t="str">
        <f>IF(TBL_Employees[[#This Row],[Age]]&gt;50,"Senior","Junior")</f>
        <v>Senior</v>
      </c>
      <c r="Q648" s="14" t="str">
        <f>IF(OR(D648="IT", J648&gt;100000), "YES", "NO")</f>
        <v>YES</v>
      </c>
      <c r="R648" s="14">
        <f>YEAR(TBL_Employees[[#This Row],[Hire Date]])</f>
        <v>1997</v>
      </c>
    </row>
    <row r="649" spans="1:18" x14ac:dyDescent="0.35">
      <c r="A649" t="s">
        <v>1331</v>
      </c>
      <c r="B649" t="s">
        <v>1332</v>
      </c>
      <c r="C649" t="s">
        <v>125</v>
      </c>
      <c r="D649" t="s">
        <v>81</v>
      </c>
      <c r="E649" t="s">
        <v>50</v>
      </c>
      <c r="F649" t="s">
        <v>19</v>
      </c>
      <c r="G649" t="s">
        <v>37</v>
      </c>
      <c r="H649">
        <v>39</v>
      </c>
      <c r="I649" s="5">
        <v>42843</v>
      </c>
      <c r="J649" s="11">
        <v>58745</v>
      </c>
      <c r="K649" s="6">
        <v>0</v>
      </c>
      <c r="L649" t="s">
        <v>21</v>
      </c>
      <c r="M649" t="s">
        <v>61</v>
      </c>
      <c r="N649" s="5" t="s">
        <v>31</v>
      </c>
      <c r="O649">
        <f>TBL_Employees[[#This Row],[Bonus %]]*TBL_Employees[[#This Row],[Annual Salary]]</f>
        <v>0</v>
      </c>
      <c r="P649" t="str">
        <f>IF(TBL_Employees[[#This Row],[Age]]&gt;50,"Senior","Junior")</f>
        <v>Junior</v>
      </c>
      <c r="Q649" s="14" t="str">
        <f>IF(OR(D649="IT", J649&gt;100000), "YES", "NO")</f>
        <v>NO</v>
      </c>
      <c r="R649" s="14">
        <f>YEAR(TBL_Employees[[#This Row],[Hire Date]])</f>
        <v>2017</v>
      </c>
    </row>
    <row r="650" spans="1:18" x14ac:dyDescent="0.35">
      <c r="A650" t="s">
        <v>1333</v>
      </c>
      <c r="B650" t="s">
        <v>1334</v>
      </c>
      <c r="C650" t="s">
        <v>25</v>
      </c>
      <c r="D650" t="s">
        <v>17</v>
      </c>
      <c r="E650" t="s">
        <v>50</v>
      </c>
      <c r="F650" t="s">
        <v>19</v>
      </c>
      <c r="G650" t="s">
        <v>28</v>
      </c>
      <c r="H650">
        <v>57</v>
      </c>
      <c r="I650" s="5">
        <v>33728</v>
      </c>
      <c r="J650" s="11">
        <v>76202</v>
      </c>
      <c r="K650" s="6">
        <v>0</v>
      </c>
      <c r="L650" t="s">
        <v>21</v>
      </c>
      <c r="M650" t="s">
        <v>61</v>
      </c>
      <c r="N650" s="5">
        <v>34686</v>
      </c>
      <c r="O650">
        <f>TBL_Employees[[#This Row],[Bonus %]]*TBL_Employees[[#This Row],[Annual Salary]]</f>
        <v>0</v>
      </c>
      <c r="P650" t="str">
        <f>IF(TBL_Employees[[#This Row],[Age]]&gt;50,"Senior","Junior")</f>
        <v>Senior</v>
      </c>
      <c r="Q650" s="14" t="str">
        <f>IF(OR(D650="IT", J650&gt;100000), "YES", "NO")</f>
        <v>YES</v>
      </c>
      <c r="R650" s="14">
        <f>YEAR(TBL_Employees[[#This Row],[Hire Date]])</f>
        <v>1992</v>
      </c>
    </row>
    <row r="651" spans="1:18" x14ac:dyDescent="0.35">
      <c r="A651" t="s">
        <v>1335</v>
      </c>
      <c r="B651" t="s">
        <v>1336</v>
      </c>
      <c r="C651" t="s">
        <v>80</v>
      </c>
      <c r="D651" t="s">
        <v>49</v>
      </c>
      <c r="E651" t="s">
        <v>36</v>
      </c>
      <c r="F651" t="s">
        <v>27</v>
      </c>
      <c r="G651" t="s">
        <v>20</v>
      </c>
      <c r="H651">
        <v>36</v>
      </c>
      <c r="I651" s="5">
        <v>43178</v>
      </c>
      <c r="J651" s="11">
        <v>195200</v>
      </c>
      <c r="K651" s="6">
        <v>0.36</v>
      </c>
      <c r="L651" t="s">
        <v>21</v>
      </c>
      <c r="M651" t="s">
        <v>61</v>
      </c>
      <c r="N651" s="5" t="s">
        <v>31</v>
      </c>
      <c r="O651">
        <f>TBL_Employees[[#This Row],[Bonus %]]*TBL_Employees[[#This Row],[Annual Salary]]</f>
        <v>70272</v>
      </c>
      <c r="P651" t="str">
        <f>IF(TBL_Employees[[#This Row],[Age]]&gt;50,"Senior","Junior")</f>
        <v>Junior</v>
      </c>
      <c r="Q651" s="14" t="str">
        <f>IF(OR(D651="IT", J651&gt;100000), "YES", "NO")</f>
        <v>YES</v>
      </c>
      <c r="R651" s="14">
        <f>YEAR(TBL_Employees[[#This Row],[Hire Date]])</f>
        <v>2018</v>
      </c>
    </row>
    <row r="652" spans="1:18" x14ac:dyDescent="0.35">
      <c r="A652" t="s">
        <v>1337</v>
      </c>
      <c r="B652" t="s">
        <v>1338</v>
      </c>
      <c r="C652" t="s">
        <v>125</v>
      </c>
      <c r="D652" t="s">
        <v>35</v>
      </c>
      <c r="E652" t="s">
        <v>26</v>
      </c>
      <c r="F652" t="s">
        <v>19</v>
      </c>
      <c r="G652" t="s">
        <v>28</v>
      </c>
      <c r="H652">
        <v>45</v>
      </c>
      <c r="I652" s="5">
        <v>42711</v>
      </c>
      <c r="J652" s="11">
        <v>71454</v>
      </c>
      <c r="K652" s="6">
        <v>0</v>
      </c>
      <c r="L652" t="s">
        <v>29</v>
      </c>
      <c r="M652" t="s">
        <v>75</v>
      </c>
      <c r="N652" s="5" t="s">
        <v>31</v>
      </c>
      <c r="O652">
        <f>TBL_Employees[[#This Row],[Bonus %]]*TBL_Employees[[#This Row],[Annual Salary]]</f>
        <v>0</v>
      </c>
      <c r="P652" t="str">
        <f>IF(TBL_Employees[[#This Row],[Age]]&gt;50,"Senior","Junior")</f>
        <v>Junior</v>
      </c>
      <c r="Q652" s="14" t="str">
        <f>IF(OR(D652="IT", J652&gt;100000), "YES", "NO")</f>
        <v>NO</v>
      </c>
      <c r="R652" s="14">
        <f>YEAR(TBL_Employees[[#This Row],[Hire Date]])</f>
        <v>2016</v>
      </c>
    </row>
    <row r="653" spans="1:18" x14ac:dyDescent="0.35">
      <c r="A653" t="s">
        <v>1339</v>
      </c>
      <c r="B653" t="s">
        <v>1340</v>
      </c>
      <c r="C653" t="s">
        <v>208</v>
      </c>
      <c r="D653" t="s">
        <v>17</v>
      </c>
      <c r="E653" t="s">
        <v>26</v>
      </c>
      <c r="F653" t="s">
        <v>19</v>
      </c>
      <c r="G653" t="s">
        <v>37</v>
      </c>
      <c r="H653">
        <v>30</v>
      </c>
      <c r="I653" s="5">
        <v>43864</v>
      </c>
      <c r="J653" s="11">
        <v>94652</v>
      </c>
      <c r="K653" s="6">
        <v>0</v>
      </c>
      <c r="L653" t="s">
        <v>21</v>
      </c>
      <c r="M653" t="s">
        <v>22</v>
      </c>
      <c r="N653" s="5" t="s">
        <v>31</v>
      </c>
      <c r="O653">
        <f>TBL_Employees[[#This Row],[Bonus %]]*TBL_Employees[[#This Row],[Annual Salary]]</f>
        <v>0</v>
      </c>
      <c r="P653" t="str">
        <f>IF(TBL_Employees[[#This Row],[Age]]&gt;50,"Senior","Junior")</f>
        <v>Junior</v>
      </c>
      <c r="Q653" s="14" t="str">
        <f>IF(OR(D653="IT", J653&gt;100000), "YES", "NO")</f>
        <v>YES</v>
      </c>
      <c r="R653" s="14">
        <f>YEAR(TBL_Employees[[#This Row],[Hire Date]])</f>
        <v>2020</v>
      </c>
    </row>
    <row r="654" spans="1:18" x14ac:dyDescent="0.35">
      <c r="A654" t="s">
        <v>1341</v>
      </c>
      <c r="B654" t="s">
        <v>1342</v>
      </c>
      <c r="C654" t="s">
        <v>25</v>
      </c>
      <c r="D654" t="s">
        <v>17</v>
      </c>
      <c r="E654" t="s">
        <v>26</v>
      </c>
      <c r="F654" t="s">
        <v>27</v>
      </c>
      <c r="G654" t="s">
        <v>20</v>
      </c>
      <c r="H654">
        <v>34</v>
      </c>
      <c r="I654" s="5">
        <v>42416</v>
      </c>
      <c r="J654" s="11">
        <v>63411</v>
      </c>
      <c r="K654" s="6">
        <v>0</v>
      </c>
      <c r="L654" t="s">
        <v>21</v>
      </c>
      <c r="M654" t="s">
        <v>57</v>
      </c>
      <c r="N654" s="5" t="s">
        <v>31</v>
      </c>
      <c r="O654">
        <f>TBL_Employees[[#This Row],[Bonus %]]*TBL_Employees[[#This Row],[Annual Salary]]</f>
        <v>0</v>
      </c>
      <c r="P654" t="str">
        <f>IF(TBL_Employees[[#This Row],[Age]]&gt;50,"Senior","Junior")</f>
        <v>Junior</v>
      </c>
      <c r="Q654" s="14" t="str">
        <f>IF(OR(D654="IT", J654&gt;100000), "YES", "NO")</f>
        <v>YES</v>
      </c>
      <c r="R654" s="14">
        <f>YEAR(TBL_Employees[[#This Row],[Hire Date]])</f>
        <v>2016</v>
      </c>
    </row>
    <row r="655" spans="1:18" x14ac:dyDescent="0.35">
      <c r="A655" t="s">
        <v>1343</v>
      </c>
      <c r="B655" t="s">
        <v>1344</v>
      </c>
      <c r="C655" t="s">
        <v>125</v>
      </c>
      <c r="D655" t="s">
        <v>49</v>
      </c>
      <c r="E655" t="s">
        <v>36</v>
      </c>
      <c r="F655" t="s">
        <v>27</v>
      </c>
      <c r="G655" t="s">
        <v>28</v>
      </c>
      <c r="H655">
        <v>31</v>
      </c>
      <c r="I655" s="5">
        <v>43878</v>
      </c>
      <c r="J655" s="11">
        <v>67171</v>
      </c>
      <c r="K655" s="6">
        <v>0</v>
      </c>
      <c r="L655" t="s">
        <v>29</v>
      </c>
      <c r="M655" t="s">
        <v>30</v>
      </c>
      <c r="N655" s="5">
        <v>44317</v>
      </c>
      <c r="O655">
        <f>TBL_Employees[[#This Row],[Bonus %]]*TBL_Employees[[#This Row],[Annual Salary]]</f>
        <v>0</v>
      </c>
      <c r="P655" t="str">
        <f>IF(TBL_Employees[[#This Row],[Age]]&gt;50,"Senior","Junior")</f>
        <v>Junior</v>
      </c>
      <c r="Q655" s="14" t="str">
        <f>IF(OR(D655="IT", J655&gt;100000), "YES", "NO")</f>
        <v>NO</v>
      </c>
      <c r="R655" s="14">
        <f>YEAR(TBL_Employees[[#This Row],[Hire Date]])</f>
        <v>2020</v>
      </c>
    </row>
    <row r="656" spans="1:18" x14ac:dyDescent="0.35">
      <c r="A656" t="s">
        <v>1345</v>
      </c>
      <c r="B656" t="s">
        <v>1346</v>
      </c>
      <c r="C656" t="s">
        <v>16</v>
      </c>
      <c r="D656" t="s">
        <v>60</v>
      </c>
      <c r="E656" t="s">
        <v>36</v>
      </c>
      <c r="F656" t="s">
        <v>19</v>
      </c>
      <c r="G656" t="s">
        <v>86</v>
      </c>
      <c r="H656">
        <v>28</v>
      </c>
      <c r="I656" s="5">
        <v>43652</v>
      </c>
      <c r="J656" s="11">
        <v>152036</v>
      </c>
      <c r="K656" s="6">
        <v>0.15</v>
      </c>
      <c r="L656" t="s">
        <v>94</v>
      </c>
      <c r="M656" t="s">
        <v>100</v>
      </c>
      <c r="N656" s="5" t="s">
        <v>31</v>
      </c>
      <c r="O656">
        <f>TBL_Employees[[#This Row],[Bonus %]]*TBL_Employees[[#This Row],[Annual Salary]]</f>
        <v>22805.399999999998</v>
      </c>
      <c r="P656" t="str">
        <f>IF(TBL_Employees[[#This Row],[Age]]&gt;50,"Senior","Junior")</f>
        <v>Junior</v>
      </c>
      <c r="Q656" s="14" t="str">
        <f>IF(OR(D656="IT", J656&gt;100000), "YES", "NO")</f>
        <v>YES</v>
      </c>
      <c r="R656" s="14">
        <f>YEAR(TBL_Employees[[#This Row],[Hire Date]])</f>
        <v>2019</v>
      </c>
    </row>
    <row r="657" spans="1:18" x14ac:dyDescent="0.35">
      <c r="A657" t="s">
        <v>1347</v>
      </c>
      <c r="B657" t="s">
        <v>1348</v>
      </c>
      <c r="C657" t="s">
        <v>69</v>
      </c>
      <c r="D657" t="s">
        <v>70</v>
      </c>
      <c r="E657" t="s">
        <v>26</v>
      </c>
      <c r="F657" t="s">
        <v>19</v>
      </c>
      <c r="G657" t="s">
        <v>20</v>
      </c>
      <c r="H657">
        <v>55</v>
      </c>
      <c r="I657" s="5">
        <v>44276</v>
      </c>
      <c r="J657" s="11">
        <v>95562</v>
      </c>
      <c r="K657" s="6">
        <v>0</v>
      </c>
      <c r="L657" t="s">
        <v>21</v>
      </c>
      <c r="M657" t="s">
        <v>38</v>
      </c>
      <c r="N657" s="5" t="s">
        <v>31</v>
      </c>
      <c r="O657">
        <f>TBL_Employees[[#This Row],[Bonus %]]*TBL_Employees[[#This Row],[Annual Salary]]</f>
        <v>0</v>
      </c>
      <c r="P657" t="str">
        <f>IF(TBL_Employees[[#This Row],[Age]]&gt;50,"Senior","Junior")</f>
        <v>Senior</v>
      </c>
      <c r="Q657" s="14" t="str">
        <f>IF(OR(D657="IT", J657&gt;100000), "YES", "NO")</f>
        <v>NO</v>
      </c>
      <c r="R657" s="14">
        <f>YEAR(TBL_Employees[[#This Row],[Hire Date]])</f>
        <v>2021</v>
      </c>
    </row>
    <row r="658" spans="1:18" x14ac:dyDescent="0.35">
      <c r="A658" t="s">
        <v>1349</v>
      </c>
      <c r="B658" t="s">
        <v>1350</v>
      </c>
      <c r="C658" t="s">
        <v>44</v>
      </c>
      <c r="D658" t="s">
        <v>49</v>
      </c>
      <c r="E658" t="s">
        <v>18</v>
      </c>
      <c r="F658" t="s">
        <v>27</v>
      </c>
      <c r="G658" t="s">
        <v>37</v>
      </c>
      <c r="H658">
        <v>30</v>
      </c>
      <c r="I658" s="5">
        <v>43773</v>
      </c>
      <c r="J658" s="11">
        <v>96092</v>
      </c>
      <c r="K658" s="6">
        <v>0</v>
      </c>
      <c r="L658" t="s">
        <v>21</v>
      </c>
      <c r="M658" t="s">
        <v>61</v>
      </c>
      <c r="N658" s="5" t="s">
        <v>31</v>
      </c>
      <c r="O658">
        <f>TBL_Employees[[#This Row],[Bonus %]]*TBL_Employees[[#This Row],[Annual Salary]]</f>
        <v>0</v>
      </c>
      <c r="P658" t="str">
        <f>IF(TBL_Employees[[#This Row],[Age]]&gt;50,"Senior","Junior")</f>
        <v>Junior</v>
      </c>
      <c r="Q658" s="14" t="str">
        <f>IF(OR(D658="IT", J658&gt;100000), "YES", "NO")</f>
        <v>NO</v>
      </c>
      <c r="R658" s="14">
        <f>YEAR(TBL_Employees[[#This Row],[Hire Date]])</f>
        <v>2019</v>
      </c>
    </row>
    <row r="659" spans="1:18" x14ac:dyDescent="0.35">
      <c r="A659" t="s">
        <v>1351</v>
      </c>
      <c r="B659" t="s">
        <v>1352</v>
      </c>
      <c r="C659" t="s">
        <v>80</v>
      </c>
      <c r="D659" t="s">
        <v>70</v>
      </c>
      <c r="E659" t="s">
        <v>26</v>
      </c>
      <c r="F659" t="s">
        <v>27</v>
      </c>
      <c r="G659" t="s">
        <v>28</v>
      </c>
      <c r="H659">
        <v>63</v>
      </c>
      <c r="I659" s="5">
        <v>41428</v>
      </c>
      <c r="J659" s="11">
        <v>254289</v>
      </c>
      <c r="K659" s="6">
        <v>0.39</v>
      </c>
      <c r="L659" t="s">
        <v>21</v>
      </c>
      <c r="M659" t="s">
        <v>38</v>
      </c>
      <c r="N659" s="5" t="s">
        <v>31</v>
      </c>
      <c r="O659">
        <f>TBL_Employees[[#This Row],[Bonus %]]*TBL_Employees[[#This Row],[Annual Salary]]</f>
        <v>99172.71</v>
      </c>
      <c r="P659" t="str">
        <f>IF(TBL_Employees[[#This Row],[Age]]&gt;50,"Senior","Junior")</f>
        <v>Senior</v>
      </c>
      <c r="Q659" s="14" t="str">
        <f>IF(OR(D659="IT", J659&gt;100000), "YES", "NO")</f>
        <v>YES</v>
      </c>
      <c r="R659" s="14">
        <f>YEAR(TBL_Employees[[#This Row],[Hire Date]])</f>
        <v>2013</v>
      </c>
    </row>
    <row r="660" spans="1:18" x14ac:dyDescent="0.35">
      <c r="A660" t="s">
        <v>1353</v>
      </c>
      <c r="B660" t="s">
        <v>1354</v>
      </c>
      <c r="C660" t="s">
        <v>41</v>
      </c>
      <c r="D660" t="s">
        <v>17</v>
      </c>
      <c r="E660" t="s">
        <v>18</v>
      </c>
      <c r="F660" t="s">
        <v>27</v>
      </c>
      <c r="G660" t="s">
        <v>37</v>
      </c>
      <c r="H660">
        <v>26</v>
      </c>
      <c r="I660" s="5">
        <v>43656</v>
      </c>
      <c r="J660" s="11">
        <v>69110</v>
      </c>
      <c r="K660" s="6">
        <v>0.05</v>
      </c>
      <c r="L660" t="s">
        <v>21</v>
      </c>
      <c r="M660" t="s">
        <v>38</v>
      </c>
      <c r="N660" s="5" t="s">
        <v>31</v>
      </c>
      <c r="O660">
        <f>TBL_Employees[[#This Row],[Bonus %]]*TBL_Employees[[#This Row],[Annual Salary]]</f>
        <v>3455.5</v>
      </c>
      <c r="P660" t="str">
        <f>IF(TBL_Employees[[#This Row],[Age]]&gt;50,"Senior","Junior")</f>
        <v>Junior</v>
      </c>
      <c r="Q660" s="14" t="str">
        <f>IF(OR(D660="IT", J660&gt;100000), "YES", "NO")</f>
        <v>YES</v>
      </c>
      <c r="R660" s="14">
        <f>YEAR(TBL_Employees[[#This Row],[Hire Date]])</f>
        <v>2019</v>
      </c>
    </row>
    <row r="661" spans="1:18" x14ac:dyDescent="0.35">
      <c r="A661" t="s">
        <v>1355</v>
      </c>
      <c r="B661" t="s">
        <v>1356</v>
      </c>
      <c r="C661" t="s">
        <v>80</v>
      </c>
      <c r="D661" t="s">
        <v>81</v>
      </c>
      <c r="E661" t="s">
        <v>36</v>
      </c>
      <c r="F661" t="s">
        <v>27</v>
      </c>
      <c r="G661" t="s">
        <v>37</v>
      </c>
      <c r="H661">
        <v>52</v>
      </c>
      <c r="I661" s="5">
        <v>37418</v>
      </c>
      <c r="J661" s="11">
        <v>236314</v>
      </c>
      <c r="K661" s="6">
        <v>0.34</v>
      </c>
      <c r="L661" t="s">
        <v>21</v>
      </c>
      <c r="M661" t="s">
        <v>57</v>
      </c>
      <c r="N661" s="5" t="s">
        <v>31</v>
      </c>
      <c r="O661">
        <f>TBL_Employees[[#This Row],[Bonus %]]*TBL_Employees[[#This Row],[Annual Salary]]</f>
        <v>80346.760000000009</v>
      </c>
      <c r="P661" t="str">
        <f>IF(TBL_Employees[[#This Row],[Age]]&gt;50,"Senior","Junior")</f>
        <v>Senior</v>
      </c>
      <c r="Q661" s="14" t="str">
        <f>IF(OR(D661="IT", J661&gt;100000), "YES", "NO")</f>
        <v>YES</v>
      </c>
      <c r="R661" s="14">
        <f>YEAR(TBL_Employees[[#This Row],[Hire Date]])</f>
        <v>2002</v>
      </c>
    </row>
    <row r="662" spans="1:18" x14ac:dyDescent="0.35">
      <c r="A662" t="s">
        <v>1357</v>
      </c>
      <c r="B662" t="s">
        <v>1358</v>
      </c>
      <c r="C662" t="s">
        <v>56</v>
      </c>
      <c r="D662" t="s">
        <v>81</v>
      </c>
      <c r="E662" t="s">
        <v>50</v>
      </c>
      <c r="F662" t="s">
        <v>27</v>
      </c>
      <c r="G662" t="s">
        <v>86</v>
      </c>
      <c r="H662">
        <v>51</v>
      </c>
      <c r="I662" s="5">
        <v>39252</v>
      </c>
      <c r="J662" s="11">
        <v>45206</v>
      </c>
      <c r="K662" s="6">
        <v>0</v>
      </c>
      <c r="L662" t="s">
        <v>21</v>
      </c>
      <c r="M662" t="s">
        <v>89</v>
      </c>
      <c r="N662" s="5" t="s">
        <v>31</v>
      </c>
      <c r="O662">
        <f>TBL_Employees[[#This Row],[Bonus %]]*TBL_Employees[[#This Row],[Annual Salary]]</f>
        <v>0</v>
      </c>
      <c r="P662" t="str">
        <f>IF(TBL_Employees[[#This Row],[Age]]&gt;50,"Senior","Junior")</f>
        <v>Senior</v>
      </c>
      <c r="Q662" s="14" t="str">
        <f>IF(OR(D662="IT", J662&gt;100000), "YES", "NO")</f>
        <v>NO</v>
      </c>
      <c r="R662" s="14">
        <f>YEAR(TBL_Employees[[#This Row],[Hire Date]])</f>
        <v>2007</v>
      </c>
    </row>
    <row r="663" spans="1:18" x14ac:dyDescent="0.35">
      <c r="A663" t="s">
        <v>1359</v>
      </c>
      <c r="B663" t="s">
        <v>1360</v>
      </c>
      <c r="C663" t="s">
        <v>80</v>
      </c>
      <c r="D663" t="s">
        <v>35</v>
      </c>
      <c r="E663" t="s">
        <v>18</v>
      </c>
      <c r="F663" t="s">
        <v>19</v>
      </c>
      <c r="G663" t="s">
        <v>28</v>
      </c>
      <c r="H663">
        <v>25</v>
      </c>
      <c r="I663" s="5">
        <v>44515</v>
      </c>
      <c r="J663" s="11">
        <v>210708</v>
      </c>
      <c r="K663" s="6">
        <v>0.33</v>
      </c>
      <c r="L663" t="s">
        <v>21</v>
      </c>
      <c r="M663" t="s">
        <v>38</v>
      </c>
      <c r="N663" s="5" t="s">
        <v>31</v>
      </c>
      <c r="O663">
        <f>TBL_Employees[[#This Row],[Bonus %]]*TBL_Employees[[#This Row],[Annual Salary]]</f>
        <v>69533.64</v>
      </c>
      <c r="P663" t="str">
        <f>IF(TBL_Employees[[#This Row],[Age]]&gt;50,"Senior","Junior")</f>
        <v>Junior</v>
      </c>
      <c r="Q663" s="14" t="str">
        <f>IF(OR(D663="IT", J663&gt;100000), "YES", "NO")</f>
        <v>YES</v>
      </c>
      <c r="R663" s="14">
        <f>YEAR(TBL_Employees[[#This Row],[Hire Date]])</f>
        <v>2021</v>
      </c>
    </row>
    <row r="664" spans="1:18" x14ac:dyDescent="0.35">
      <c r="A664" t="s">
        <v>1361</v>
      </c>
      <c r="B664" t="s">
        <v>1362</v>
      </c>
      <c r="C664" t="s">
        <v>300</v>
      </c>
      <c r="D664" t="s">
        <v>17</v>
      </c>
      <c r="E664" t="s">
        <v>50</v>
      </c>
      <c r="F664" t="s">
        <v>27</v>
      </c>
      <c r="G664" t="s">
        <v>86</v>
      </c>
      <c r="H664">
        <v>40</v>
      </c>
      <c r="I664" s="5">
        <v>44465</v>
      </c>
      <c r="J664" s="11">
        <v>87770</v>
      </c>
      <c r="K664" s="6">
        <v>0</v>
      </c>
      <c r="L664" t="s">
        <v>21</v>
      </c>
      <c r="M664" t="s">
        <v>61</v>
      </c>
      <c r="N664" s="5" t="s">
        <v>31</v>
      </c>
      <c r="O664">
        <f>TBL_Employees[[#This Row],[Bonus %]]*TBL_Employees[[#This Row],[Annual Salary]]</f>
        <v>0</v>
      </c>
      <c r="P664" t="str">
        <f>IF(TBL_Employees[[#This Row],[Age]]&gt;50,"Senior","Junior")</f>
        <v>Junior</v>
      </c>
      <c r="Q664" s="14" t="str">
        <f>IF(OR(D664="IT", J664&gt;100000), "YES", "NO")</f>
        <v>YES</v>
      </c>
      <c r="R664" s="14">
        <f>YEAR(TBL_Employees[[#This Row],[Hire Date]])</f>
        <v>2021</v>
      </c>
    </row>
    <row r="665" spans="1:18" x14ac:dyDescent="0.35">
      <c r="A665" t="s">
        <v>1363</v>
      </c>
      <c r="B665" t="s">
        <v>1364</v>
      </c>
      <c r="C665" t="s">
        <v>53</v>
      </c>
      <c r="D665" t="s">
        <v>60</v>
      </c>
      <c r="E665" t="s">
        <v>50</v>
      </c>
      <c r="F665" t="s">
        <v>19</v>
      </c>
      <c r="G665" t="s">
        <v>37</v>
      </c>
      <c r="H665">
        <v>38</v>
      </c>
      <c r="I665" s="5">
        <v>42228</v>
      </c>
      <c r="J665" s="11">
        <v>106858</v>
      </c>
      <c r="K665" s="6">
        <v>0.05</v>
      </c>
      <c r="L665" t="s">
        <v>21</v>
      </c>
      <c r="M665" t="s">
        <v>22</v>
      </c>
      <c r="N665" s="5" t="s">
        <v>31</v>
      </c>
      <c r="O665">
        <f>TBL_Employees[[#This Row],[Bonus %]]*TBL_Employees[[#This Row],[Annual Salary]]</f>
        <v>5342.9000000000005</v>
      </c>
      <c r="P665" t="str">
        <f>IF(TBL_Employees[[#This Row],[Age]]&gt;50,"Senior","Junior")</f>
        <v>Junior</v>
      </c>
      <c r="Q665" s="14" t="str">
        <f>IF(OR(D665="IT", J665&gt;100000), "YES", "NO")</f>
        <v>YES</v>
      </c>
      <c r="R665" s="14">
        <f>YEAR(TBL_Employees[[#This Row],[Hire Date]])</f>
        <v>2015</v>
      </c>
    </row>
    <row r="666" spans="1:18" x14ac:dyDescent="0.35">
      <c r="A666" t="s">
        <v>1365</v>
      </c>
      <c r="B666" t="s">
        <v>1366</v>
      </c>
      <c r="C666" t="s">
        <v>34</v>
      </c>
      <c r="D666" t="s">
        <v>66</v>
      </c>
      <c r="E666" t="s">
        <v>50</v>
      </c>
      <c r="F666" t="s">
        <v>27</v>
      </c>
      <c r="G666" t="s">
        <v>37</v>
      </c>
      <c r="H666">
        <v>60</v>
      </c>
      <c r="I666" s="5">
        <v>42108</v>
      </c>
      <c r="J666" s="11">
        <v>155788</v>
      </c>
      <c r="K666" s="6">
        <v>0.17</v>
      </c>
      <c r="L666" t="s">
        <v>21</v>
      </c>
      <c r="M666" t="s">
        <v>22</v>
      </c>
      <c r="N666" s="5" t="s">
        <v>31</v>
      </c>
      <c r="O666">
        <f>TBL_Employees[[#This Row],[Bonus %]]*TBL_Employees[[#This Row],[Annual Salary]]</f>
        <v>26483.960000000003</v>
      </c>
      <c r="P666" t="str">
        <f>IF(TBL_Employees[[#This Row],[Age]]&gt;50,"Senior","Junior")</f>
        <v>Senior</v>
      </c>
      <c r="Q666" s="14" t="str">
        <f>IF(OR(D666="IT", J666&gt;100000), "YES", "NO")</f>
        <v>YES</v>
      </c>
      <c r="R666" s="14">
        <f>YEAR(TBL_Employees[[#This Row],[Hire Date]])</f>
        <v>2015</v>
      </c>
    </row>
    <row r="667" spans="1:18" x14ac:dyDescent="0.35">
      <c r="A667" t="s">
        <v>1367</v>
      </c>
      <c r="B667" t="s">
        <v>1368</v>
      </c>
      <c r="C667" t="s">
        <v>144</v>
      </c>
      <c r="D667" t="s">
        <v>66</v>
      </c>
      <c r="E667" t="s">
        <v>36</v>
      </c>
      <c r="F667" t="s">
        <v>19</v>
      </c>
      <c r="G667" t="s">
        <v>86</v>
      </c>
      <c r="H667">
        <v>45</v>
      </c>
      <c r="I667" s="5">
        <v>43581</v>
      </c>
      <c r="J667" s="11">
        <v>74891</v>
      </c>
      <c r="K667" s="6">
        <v>0</v>
      </c>
      <c r="L667" t="s">
        <v>94</v>
      </c>
      <c r="M667" t="s">
        <v>100</v>
      </c>
      <c r="N667" s="5" t="s">
        <v>31</v>
      </c>
      <c r="O667">
        <f>TBL_Employees[[#This Row],[Bonus %]]*TBL_Employees[[#This Row],[Annual Salary]]</f>
        <v>0</v>
      </c>
      <c r="P667" t="str">
        <f>IF(TBL_Employees[[#This Row],[Age]]&gt;50,"Senior","Junior")</f>
        <v>Junior</v>
      </c>
      <c r="Q667" s="14" t="str">
        <f>IF(OR(D667="IT", J667&gt;100000), "YES", "NO")</f>
        <v>NO</v>
      </c>
      <c r="R667" s="14">
        <f>YEAR(TBL_Employees[[#This Row],[Hire Date]])</f>
        <v>2019</v>
      </c>
    </row>
    <row r="668" spans="1:18" x14ac:dyDescent="0.35">
      <c r="A668" t="s">
        <v>1369</v>
      </c>
      <c r="B668" t="s">
        <v>1370</v>
      </c>
      <c r="C668" t="s">
        <v>69</v>
      </c>
      <c r="D668" t="s">
        <v>70</v>
      </c>
      <c r="E668" t="s">
        <v>50</v>
      </c>
      <c r="F668" t="s">
        <v>27</v>
      </c>
      <c r="G668" t="s">
        <v>28</v>
      </c>
      <c r="H668">
        <v>28</v>
      </c>
      <c r="I668" s="5">
        <v>44548</v>
      </c>
      <c r="J668" s="11">
        <v>95670</v>
      </c>
      <c r="K668" s="6">
        <v>0</v>
      </c>
      <c r="L668" t="s">
        <v>21</v>
      </c>
      <c r="M668" t="s">
        <v>45</v>
      </c>
      <c r="N668" s="5" t="s">
        <v>31</v>
      </c>
      <c r="O668">
        <f>TBL_Employees[[#This Row],[Bonus %]]*TBL_Employees[[#This Row],[Annual Salary]]</f>
        <v>0</v>
      </c>
      <c r="P668" t="str">
        <f>IF(TBL_Employees[[#This Row],[Age]]&gt;50,"Senior","Junior")</f>
        <v>Junior</v>
      </c>
      <c r="Q668" s="14" t="str">
        <f>IF(OR(D668="IT", J668&gt;100000), "YES", "NO")</f>
        <v>NO</v>
      </c>
      <c r="R668" s="14">
        <f>YEAR(TBL_Employees[[#This Row],[Hire Date]])</f>
        <v>2021</v>
      </c>
    </row>
    <row r="669" spans="1:18" x14ac:dyDescent="0.35">
      <c r="A669" t="s">
        <v>1371</v>
      </c>
      <c r="B669" t="s">
        <v>1372</v>
      </c>
      <c r="C669" t="s">
        <v>48</v>
      </c>
      <c r="D669" t="s">
        <v>49</v>
      </c>
      <c r="E669" t="s">
        <v>18</v>
      </c>
      <c r="F669" t="s">
        <v>19</v>
      </c>
      <c r="G669" t="s">
        <v>20</v>
      </c>
      <c r="H669">
        <v>65</v>
      </c>
      <c r="I669" s="5">
        <v>36798</v>
      </c>
      <c r="J669" s="11">
        <v>67837</v>
      </c>
      <c r="K669" s="6">
        <v>0</v>
      </c>
      <c r="L669" t="s">
        <v>21</v>
      </c>
      <c r="M669" t="s">
        <v>61</v>
      </c>
      <c r="N669" s="5" t="s">
        <v>31</v>
      </c>
      <c r="O669">
        <f>TBL_Employees[[#This Row],[Bonus %]]*TBL_Employees[[#This Row],[Annual Salary]]</f>
        <v>0</v>
      </c>
      <c r="P669" t="str">
        <f>IF(TBL_Employees[[#This Row],[Age]]&gt;50,"Senior","Junior")</f>
        <v>Senior</v>
      </c>
      <c r="Q669" s="14" t="str">
        <f>IF(OR(D669="IT", J669&gt;100000), "YES", "NO")</f>
        <v>NO</v>
      </c>
      <c r="R669" s="14">
        <f>YEAR(TBL_Employees[[#This Row],[Hire Date]])</f>
        <v>2000</v>
      </c>
    </row>
    <row r="670" spans="1:18" x14ac:dyDescent="0.35">
      <c r="A670" t="s">
        <v>1373</v>
      </c>
      <c r="B670" t="s">
        <v>1374</v>
      </c>
      <c r="C670" t="s">
        <v>125</v>
      </c>
      <c r="D670" t="s">
        <v>49</v>
      </c>
      <c r="E670" t="s">
        <v>18</v>
      </c>
      <c r="F670" t="s">
        <v>27</v>
      </c>
      <c r="G670" t="s">
        <v>28</v>
      </c>
      <c r="H670">
        <v>41</v>
      </c>
      <c r="I670" s="5">
        <v>40333</v>
      </c>
      <c r="J670" s="11">
        <v>72425</v>
      </c>
      <c r="K670" s="6">
        <v>0</v>
      </c>
      <c r="L670" t="s">
        <v>29</v>
      </c>
      <c r="M670" t="s">
        <v>115</v>
      </c>
      <c r="N670" s="5" t="s">
        <v>31</v>
      </c>
      <c r="O670">
        <f>TBL_Employees[[#This Row],[Bonus %]]*TBL_Employees[[#This Row],[Annual Salary]]</f>
        <v>0</v>
      </c>
      <c r="P670" t="str">
        <f>IF(TBL_Employees[[#This Row],[Age]]&gt;50,"Senior","Junior")</f>
        <v>Junior</v>
      </c>
      <c r="Q670" s="14" t="str">
        <f>IF(OR(D670="IT", J670&gt;100000), "YES", "NO")</f>
        <v>NO</v>
      </c>
      <c r="R670" s="14">
        <f>YEAR(TBL_Employees[[#This Row],[Hire Date]])</f>
        <v>2010</v>
      </c>
    </row>
    <row r="671" spans="1:18" x14ac:dyDescent="0.35">
      <c r="A671" t="s">
        <v>1375</v>
      </c>
      <c r="B671" t="s">
        <v>1376</v>
      </c>
      <c r="C671" t="s">
        <v>44</v>
      </c>
      <c r="D671" t="s">
        <v>49</v>
      </c>
      <c r="E671" t="s">
        <v>50</v>
      </c>
      <c r="F671" t="s">
        <v>19</v>
      </c>
      <c r="G671" t="s">
        <v>86</v>
      </c>
      <c r="H671">
        <v>52</v>
      </c>
      <c r="I671" s="5">
        <v>34623</v>
      </c>
      <c r="J671" s="11">
        <v>93103</v>
      </c>
      <c r="K671" s="6">
        <v>0</v>
      </c>
      <c r="L671" t="s">
        <v>21</v>
      </c>
      <c r="M671" t="s">
        <v>45</v>
      </c>
      <c r="N671" s="5" t="s">
        <v>31</v>
      </c>
      <c r="O671">
        <f>TBL_Employees[[#This Row],[Bonus %]]*TBL_Employees[[#This Row],[Annual Salary]]</f>
        <v>0</v>
      </c>
      <c r="P671" t="str">
        <f>IF(TBL_Employees[[#This Row],[Age]]&gt;50,"Senior","Junior")</f>
        <v>Senior</v>
      </c>
      <c r="Q671" s="14" t="str">
        <f>IF(OR(D671="IT", J671&gt;100000), "YES", "NO")</f>
        <v>NO</v>
      </c>
      <c r="R671" s="14">
        <f>YEAR(TBL_Employees[[#This Row],[Hire Date]])</f>
        <v>1994</v>
      </c>
    </row>
    <row r="672" spans="1:18" x14ac:dyDescent="0.35">
      <c r="A672" t="s">
        <v>1377</v>
      </c>
      <c r="B672" t="s">
        <v>1378</v>
      </c>
      <c r="C672" t="s">
        <v>69</v>
      </c>
      <c r="D672" t="s">
        <v>70</v>
      </c>
      <c r="E672" t="s">
        <v>50</v>
      </c>
      <c r="F672" t="s">
        <v>19</v>
      </c>
      <c r="G672" t="s">
        <v>37</v>
      </c>
      <c r="H672">
        <v>56</v>
      </c>
      <c r="I672" s="5">
        <v>42291</v>
      </c>
      <c r="J672" s="11">
        <v>76272</v>
      </c>
      <c r="K672" s="6">
        <v>0</v>
      </c>
      <c r="L672" t="s">
        <v>21</v>
      </c>
      <c r="M672" t="s">
        <v>57</v>
      </c>
      <c r="N672" s="5">
        <v>44491</v>
      </c>
      <c r="O672">
        <f>TBL_Employees[[#This Row],[Bonus %]]*TBL_Employees[[#This Row],[Annual Salary]]</f>
        <v>0</v>
      </c>
      <c r="P672" t="str">
        <f>IF(TBL_Employees[[#This Row],[Age]]&gt;50,"Senior","Junior")</f>
        <v>Senior</v>
      </c>
      <c r="Q672" s="14" t="str">
        <f>IF(OR(D672="IT", J672&gt;100000), "YES", "NO")</f>
        <v>NO</v>
      </c>
      <c r="R672" s="14">
        <f>YEAR(TBL_Employees[[#This Row],[Hire Date]])</f>
        <v>2015</v>
      </c>
    </row>
    <row r="673" spans="1:18" x14ac:dyDescent="0.35">
      <c r="A673" t="s">
        <v>1379</v>
      </c>
      <c r="B673" t="s">
        <v>1380</v>
      </c>
      <c r="C673" t="s">
        <v>125</v>
      </c>
      <c r="D673" t="s">
        <v>35</v>
      </c>
      <c r="E673" t="s">
        <v>26</v>
      </c>
      <c r="F673" t="s">
        <v>19</v>
      </c>
      <c r="G673" t="s">
        <v>28</v>
      </c>
      <c r="H673">
        <v>48</v>
      </c>
      <c r="I673" s="5">
        <v>37796</v>
      </c>
      <c r="J673" s="11">
        <v>55760</v>
      </c>
      <c r="K673" s="6">
        <v>0</v>
      </c>
      <c r="L673" t="s">
        <v>21</v>
      </c>
      <c r="M673" t="s">
        <v>61</v>
      </c>
      <c r="N673" s="5" t="s">
        <v>31</v>
      </c>
      <c r="O673">
        <f>TBL_Employees[[#This Row],[Bonus %]]*TBL_Employees[[#This Row],[Annual Salary]]</f>
        <v>0</v>
      </c>
      <c r="P673" t="str">
        <f>IF(TBL_Employees[[#This Row],[Age]]&gt;50,"Senior","Junior")</f>
        <v>Junior</v>
      </c>
      <c r="Q673" s="14" t="str">
        <f>IF(OR(D673="IT", J673&gt;100000), "YES", "NO")</f>
        <v>NO</v>
      </c>
      <c r="R673" s="14">
        <f>YEAR(TBL_Employees[[#This Row],[Hire Date]])</f>
        <v>2003</v>
      </c>
    </row>
    <row r="674" spans="1:18" x14ac:dyDescent="0.35">
      <c r="A674" t="s">
        <v>1381</v>
      </c>
      <c r="B674" t="s">
        <v>1382</v>
      </c>
      <c r="C674" t="s">
        <v>80</v>
      </c>
      <c r="D674" t="s">
        <v>60</v>
      </c>
      <c r="E674" t="s">
        <v>50</v>
      </c>
      <c r="F674" t="s">
        <v>19</v>
      </c>
      <c r="G674" t="s">
        <v>37</v>
      </c>
      <c r="H674">
        <v>36</v>
      </c>
      <c r="I674" s="5">
        <v>43843</v>
      </c>
      <c r="J674" s="11">
        <v>253294</v>
      </c>
      <c r="K674" s="6">
        <v>0.4</v>
      </c>
      <c r="L674" t="s">
        <v>21</v>
      </c>
      <c r="M674" t="s">
        <v>57</v>
      </c>
      <c r="N674" s="5" t="s">
        <v>31</v>
      </c>
      <c r="O674">
        <f>TBL_Employees[[#This Row],[Bonus %]]*TBL_Employees[[#This Row],[Annual Salary]]</f>
        <v>101317.6</v>
      </c>
      <c r="P674" t="str">
        <f>IF(TBL_Employees[[#This Row],[Age]]&gt;50,"Senior","Junior")</f>
        <v>Junior</v>
      </c>
      <c r="Q674" s="14" t="str">
        <f>IF(OR(D674="IT", J674&gt;100000), "YES", "NO")</f>
        <v>YES</v>
      </c>
      <c r="R674" s="14">
        <f>YEAR(TBL_Employees[[#This Row],[Hire Date]])</f>
        <v>2020</v>
      </c>
    </row>
    <row r="675" spans="1:18" x14ac:dyDescent="0.35">
      <c r="A675" t="s">
        <v>1383</v>
      </c>
      <c r="B675" t="s">
        <v>1384</v>
      </c>
      <c r="C675" t="s">
        <v>125</v>
      </c>
      <c r="D675" t="s">
        <v>35</v>
      </c>
      <c r="E675" t="s">
        <v>50</v>
      </c>
      <c r="F675" t="s">
        <v>27</v>
      </c>
      <c r="G675" t="s">
        <v>37</v>
      </c>
      <c r="H675">
        <v>60</v>
      </c>
      <c r="I675" s="5">
        <v>39310</v>
      </c>
      <c r="J675" s="11">
        <v>58671</v>
      </c>
      <c r="K675" s="6">
        <v>0</v>
      </c>
      <c r="L675" t="s">
        <v>21</v>
      </c>
      <c r="M675" t="s">
        <v>89</v>
      </c>
      <c r="N675" s="5" t="s">
        <v>31</v>
      </c>
      <c r="O675">
        <f>TBL_Employees[[#This Row],[Bonus %]]*TBL_Employees[[#This Row],[Annual Salary]]</f>
        <v>0</v>
      </c>
      <c r="P675" t="str">
        <f>IF(TBL_Employees[[#This Row],[Age]]&gt;50,"Senior","Junior")</f>
        <v>Senior</v>
      </c>
      <c r="Q675" s="14" t="str">
        <f>IF(OR(D675="IT", J675&gt;100000), "YES", "NO")</f>
        <v>NO</v>
      </c>
      <c r="R675" s="14">
        <f>YEAR(TBL_Employees[[#This Row],[Hire Date]])</f>
        <v>2007</v>
      </c>
    </row>
    <row r="676" spans="1:18" x14ac:dyDescent="0.35">
      <c r="A676" t="s">
        <v>1385</v>
      </c>
      <c r="B676" t="s">
        <v>1386</v>
      </c>
      <c r="C676" t="s">
        <v>48</v>
      </c>
      <c r="D676" t="s">
        <v>49</v>
      </c>
      <c r="E676" t="s">
        <v>18</v>
      </c>
      <c r="F676" t="s">
        <v>19</v>
      </c>
      <c r="G676" t="s">
        <v>28</v>
      </c>
      <c r="H676">
        <v>40</v>
      </c>
      <c r="I676" s="5">
        <v>43175</v>
      </c>
      <c r="J676" s="11">
        <v>55457</v>
      </c>
      <c r="K676" s="6">
        <v>0</v>
      </c>
      <c r="L676" t="s">
        <v>21</v>
      </c>
      <c r="M676" t="s">
        <v>89</v>
      </c>
      <c r="N676" s="5" t="s">
        <v>31</v>
      </c>
      <c r="O676">
        <f>TBL_Employees[[#This Row],[Bonus %]]*TBL_Employees[[#This Row],[Annual Salary]]</f>
        <v>0</v>
      </c>
      <c r="P676" t="str">
        <f>IF(TBL_Employees[[#This Row],[Age]]&gt;50,"Senior","Junior")</f>
        <v>Junior</v>
      </c>
      <c r="Q676" s="14" t="str">
        <f>IF(OR(D676="IT", J676&gt;100000), "YES", "NO")</f>
        <v>NO</v>
      </c>
      <c r="R676" s="14">
        <f>YEAR(TBL_Employees[[#This Row],[Hire Date]])</f>
        <v>2018</v>
      </c>
    </row>
    <row r="677" spans="1:18" x14ac:dyDescent="0.35">
      <c r="A677" t="s">
        <v>1387</v>
      </c>
      <c r="B677" t="s">
        <v>1388</v>
      </c>
      <c r="C677" t="s">
        <v>48</v>
      </c>
      <c r="D677" t="s">
        <v>49</v>
      </c>
      <c r="E677" t="s">
        <v>26</v>
      </c>
      <c r="F677" t="s">
        <v>19</v>
      </c>
      <c r="G677" t="s">
        <v>28</v>
      </c>
      <c r="H677">
        <v>63</v>
      </c>
      <c r="I677" s="5">
        <v>43004</v>
      </c>
      <c r="J677" s="11">
        <v>72340</v>
      </c>
      <c r="K677" s="6">
        <v>0</v>
      </c>
      <c r="L677" t="s">
        <v>21</v>
      </c>
      <c r="M677" t="s">
        <v>45</v>
      </c>
      <c r="N677" s="5">
        <v>43558</v>
      </c>
      <c r="O677">
        <f>TBL_Employees[[#This Row],[Bonus %]]*TBL_Employees[[#This Row],[Annual Salary]]</f>
        <v>0</v>
      </c>
      <c r="P677" t="str">
        <f>IF(TBL_Employees[[#This Row],[Age]]&gt;50,"Senior","Junior")</f>
        <v>Senior</v>
      </c>
      <c r="Q677" s="14" t="str">
        <f>IF(OR(D677="IT", J677&gt;100000), "YES", "NO")</f>
        <v>NO</v>
      </c>
      <c r="R677" s="14">
        <f>YEAR(TBL_Employees[[#This Row],[Hire Date]])</f>
        <v>2017</v>
      </c>
    </row>
    <row r="678" spans="1:18" x14ac:dyDescent="0.35">
      <c r="A678" t="s">
        <v>1389</v>
      </c>
      <c r="B678" t="s">
        <v>1390</v>
      </c>
      <c r="C678" t="s">
        <v>53</v>
      </c>
      <c r="D678" t="s">
        <v>81</v>
      </c>
      <c r="E678" t="s">
        <v>50</v>
      </c>
      <c r="F678" t="s">
        <v>19</v>
      </c>
      <c r="G678" t="s">
        <v>37</v>
      </c>
      <c r="H678">
        <v>29</v>
      </c>
      <c r="I678" s="5">
        <v>42676</v>
      </c>
      <c r="J678" s="11">
        <v>122054</v>
      </c>
      <c r="K678" s="6">
        <v>0.06</v>
      </c>
      <c r="L678" t="s">
        <v>21</v>
      </c>
      <c r="M678" t="s">
        <v>45</v>
      </c>
      <c r="N678" s="5" t="s">
        <v>31</v>
      </c>
      <c r="O678">
        <f>TBL_Employees[[#This Row],[Bonus %]]*TBL_Employees[[#This Row],[Annual Salary]]</f>
        <v>7323.24</v>
      </c>
      <c r="P678" t="str">
        <f>IF(TBL_Employees[[#This Row],[Age]]&gt;50,"Senior","Junior")</f>
        <v>Junior</v>
      </c>
      <c r="Q678" s="14" t="str">
        <f>IF(OR(D678="IT", J678&gt;100000), "YES", "NO")</f>
        <v>YES</v>
      </c>
      <c r="R678" s="14">
        <f>YEAR(TBL_Employees[[#This Row],[Hire Date]])</f>
        <v>2016</v>
      </c>
    </row>
    <row r="679" spans="1:18" x14ac:dyDescent="0.35">
      <c r="A679" t="s">
        <v>1391</v>
      </c>
      <c r="B679" t="s">
        <v>1392</v>
      </c>
      <c r="C679" t="s">
        <v>34</v>
      </c>
      <c r="D679" t="s">
        <v>17</v>
      </c>
      <c r="E679" t="s">
        <v>26</v>
      </c>
      <c r="F679" t="s">
        <v>19</v>
      </c>
      <c r="G679" t="s">
        <v>28</v>
      </c>
      <c r="H679">
        <v>27</v>
      </c>
      <c r="I679" s="5">
        <v>43103</v>
      </c>
      <c r="J679" s="11">
        <v>167100</v>
      </c>
      <c r="K679" s="6">
        <v>0.2</v>
      </c>
      <c r="L679" t="s">
        <v>29</v>
      </c>
      <c r="M679" t="s">
        <v>135</v>
      </c>
      <c r="N679" s="5" t="s">
        <v>31</v>
      </c>
      <c r="O679">
        <f>TBL_Employees[[#This Row],[Bonus %]]*TBL_Employees[[#This Row],[Annual Salary]]</f>
        <v>33420</v>
      </c>
      <c r="P679" t="str">
        <f>IF(TBL_Employees[[#This Row],[Age]]&gt;50,"Senior","Junior")</f>
        <v>Junior</v>
      </c>
      <c r="Q679" s="14" t="str">
        <f>IF(OR(D679="IT", J679&gt;100000), "YES", "NO")</f>
        <v>YES</v>
      </c>
      <c r="R679" s="14">
        <f>YEAR(TBL_Employees[[#This Row],[Hire Date]])</f>
        <v>2018</v>
      </c>
    </row>
    <row r="680" spans="1:18" x14ac:dyDescent="0.35">
      <c r="A680" t="s">
        <v>1393</v>
      </c>
      <c r="B680" t="s">
        <v>1394</v>
      </c>
      <c r="C680" t="s">
        <v>25</v>
      </c>
      <c r="D680" t="s">
        <v>17</v>
      </c>
      <c r="E680" t="s">
        <v>50</v>
      </c>
      <c r="F680" t="s">
        <v>19</v>
      </c>
      <c r="G680" t="s">
        <v>37</v>
      </c>
      <c r="H680">
        <v>53</v>
      </c>
      <c r="I680" s="5">
        <v>35543</v>
      </c>
      <c r="J680" s="11">
        <v>78153</v>
      </c>
      <c r="K680" s="6">
        <v>0</v>
      </c>
      <c r="L680" t="s">
        <v>21</v>
      </c>
      <c r="M680" t="s">
        <v>57</v>
      </c>
      <c r="N680" s="5" t="s">
        <v>31</v>
      </c>
      <c r="O680">
        <f>TBL_Employees[[#This Row],[Bonus %]]*TBL_Employees[[#This Row],[Annual Salary]]</f>
        <v>0</v>
      </c>
      <c r="P680" t="str">
        <f>IF(TBL_Employees[[#This Row],[Age]]&gt;50,"Senior","Junior")</f>
        <v>Senior</v>
      </c>
      <c r="Q680" s="14" t="str">
        <f>IF(OR(D680="IT", J680&gt;100000), "YES", "NO")</f>
        <v>YES</v>
      </c>
      <c r="R680" s="14">
        <f>YEAR(TBL_Employees[[#This Row],[Hire Date]])</f>
        <v>1997</v>
      </c>
    </row>
    <row r="681" spans="1:18" x14ac:dyDescent="0.35">
      <c r="A681" t="s">
        <v>1395</v>
      </c>
      <c r="B681" t="s">
        <v>1396</v>
      </c>
      <c r="C681" t="s">
        <v>53</v>
      </c>
      <c r="D681" t="s">
        <v>35</v>
      </c>
      <c r="E681" t="s">
        <v>26</v>
      </c>
      <c r="F681" t="s">
        <v>19</v>
      </c>
      <c r="G681" t="s">
        <v>37</v>
      </c>
      <c r="H681">
        <v>37</v>
      </c>
      <c r="I681" s="5">
        <v>43935</v>
      </c>
      <c r="J681" s="11">
        <v>103524</v>
      </c>
      <c r="K681" s="6">
        <v>0.09</v>
      </c>
      <c r="L681" t="s">
        <v>21</v>
      </c>
      <c r="M681" t="s">
        <v>45</v>
      </c>
      <c r="N681" s="5" t="s">
        <v>31</v>
      </c>
      <c r="O681">
        <f>TBL_Employees[[#This Row],[Bonus %]]*TBL_Employees[[#This Row],[Annual Salary]]</f>
        <v>9317.16</v>
      </c>
      <c r="P681" t="str">
        <f>IF(TBL_Employees[[#This Row],[Age]]&gt;50,"Senior","Junior")</f>
        <v>Junior</v>
      </c>
      <c r="Q681" s="14" t="str">
        <f>IF(OR(D681="IT", J681&gt;100000), "YES", "NO")</f>
        <v>YES</v>
      </c>
      <c r="R681" s="14">
        <f>YEAR(TBL_Employees[[#This Row],[Hire Date]])</f>
        <v>2020</v>
      </c>
    </row>
    <row r="682" spans="1:18" x14ac:dyDescent="0.35">
      <c r="A682" t="s">
        <v>1397</v>
      </c>
      <c r="B682" t="s">
        <v>1398</v>
      </c>
      <c r="C682" t="s">
        <v>53</v>
      </c>
      <c r="D682" t="s">
        <v>17</v>
      </c>
      <c r="E682" t="s">
        <v>50</v>
      </c>
      <c r="F682" t="s">
        <v>27</v>
      </c>
      <c r="G682" t="s">
        <v>37</v>
      </c>
      <c r="H682">
        <v>30</v>
      </c>
      <c r="I682" s="5">
        <v>42952</v>
      </c>
      <c r="J682" s="11">
        <v>119906</v>
      </c>
      <c r="K682" s="6">
        <v>0.05</v>
      </c>
      <c r="L682" t="s">
        <v>21</v>
      </c>
      <c r="M682" t="s">
        <v>89</v>
      </c>
      <c r="N682" s="5" t="s">
        <v>31</v>
      </c>
      <c r="O682">
        <f>TBL_Employees[[#This Row],[Bonus %]]*TBL_Employees[[#This Row],[Annual Salary]]</f>
        <v>5995.3</v>
      </c>
      <c r="P682" t="str">
        <f>IF(TBL_Employees[[#This Row],[Age]]&gt;50,"Senior","Junior")</f>
        <v>Junior</v>
      </c>
      <c r="Q682" s="14" t="str">
        <f>IF(OR(D682="IT", J682&gt;100000), "YES", "NO")</f>
        <v>YES</v>
      </c>
      <c r="R682" s="14">
        <f>YEAR(TBL_Employees[[#This Row],[Hire Date]])</f>
        <v>2017</v>
      </c>
    </row>
    <row r="683" spans="1:18" x14ac:dyDescent="0.35">
      <c r="A683" t="s">
        <v>1399</v>
      </c>
      <c r="B683" t="s">
        <v>1400</v>
      </c>
      <c r="C683" t="s">
        <v>56</v>
      </c>
      <c r="D683" t="s">
        <v>81</v>
      </c>
      <c r="E683" t="s">
        <v>36</v>
      </c>
      <c r="F683" t="s">
        <v>19</v>
      </c>
      <c r="G683" t="s">
        <v>37</v>
      </c>
      <c r="H683">
        <v>28</v>
      </c>
      <c r="I683" s="5">
        <v>43847</v>
      </c>
      <c r="J683" s="11">
        <v>45061</v>
      </c>
      <c r="K683" s="6">
        <v>0</v>
      </c>
      <c r="L683" t="s">
        <v>21</v>
      </c>
      <c r="M683" t="s">
        <v>57</v>
      </c>
      <c r="N683" s="5" t="s">
        <v>31</v>
      </c>
      <c r="O683">
        <f>TBL_Employees[[#This Row],[Bonus %]]*TBL_Employees[[#This Row],[Annual Salary]]</f>
        <v>0</v>
      </c>
      <c r="P683" t="str">
        <f>IF(TBL_Employees[[#This Row],[Age]]&gt;50,"Senior","Junior")</f>
        <v>Junior</v>
      </c>
      <c r="Q683" s="14" t="str">
        <f>IF(OR(D683="IT", J683&gt;100000), "YES", "NO")</f>
        <v>NO</v>
      </c>
      <c r="R683" s="14">
        <f>YEAR(TBL_Employees[[#This Row],[Hire Date]])</f>
        <v>2020</v>
      </c>
    </row>
    <row r="684" spans="1:18" x14ac:dyDescent="0.35">
      <c r="A684" t="s">
        <v>1401</v>
      </c>
      <c r="B684" t="s">
        <v>1402</v>
      </c>
      <c r="C684" t="s">
        <v>443</v>
      </c>
      <c r="D684" t="s">
        <v>17</v>
      </c>
      <c r="E684" t="s">
        <v>50</v>
      </c>
      <c r="F684" t="s">
        <v>27</v>
      </c>
      <c r="G684" t="s">
        <v>28</v>
      </c>
      <c r="H684">
        <v>51</v>
      </c>
      <c r="I684" s="5">
        <v>37638</v>
      </c>
      <c r="J684" s="11">
        <v>91399</v>
      </c>
      <c r="K684" s="6">
        <v>0</v>
      </c>
      <c r="L684" t="s">
        <v>21</v>
      </c>
      <c r="M684" t="s">
        <v>22</v>
      </c>
      <c r="N684" s="5" t="s">
        <v>31</v>
      </c>
      <c r="O684">
        <f>TBL_Employees[[#This Row],[Bonus %]]*TBL_Employees[[#This Row],[Annual Salary]]</f>
        <v>0</v>
      </c>
      <c r="P684" t="str">
        <f>IF(TBL_Employees[[#This Row],[Age]]&gt;50,"Senior","Junior")</f>
        <v>Senior</v>
      </c>
      <c r="Q684" s="14" t="str">
        <f>IF(OR(D684="IT", J684&gt;100000), "YES", "NO")</f>
        <v>YES</v>
      </c>
      <c r="R684" s="14">
        <f>YEAR(TBL_Employees[[#This Row],[Hire Date]])</f>
        <v>2003</v>
      </c>
    </row>
    <row r="685" spans="1:18" x14ac:dyDescent="0.35">
      <c r="A685" t="s">
        <v>1403</v>
      </c>
      <c r="B685" t="s">
        <v>1404</v>
      </c>
      <c r="C685" t="s">
        <v>132</v>
      </c>
      <c r="D685" t="s">
        <v>17</v>
      </c>
      <c r="E685" t="s">
        <v>18</v>
      </c>
      <c r="F685" t="s">
        <v>27</v>
      </c>
      <c r="G685" t="s">
        <v>86</v>
      </c>
      <c r="H685">
        <v>28</v>
      </c>
      <c r="I685" s="5">
        <v>43006</v>
      </c>
      <c r="J685" s="11">
        <v>97336</v>
      </c>
      <c r="K685" s="6">
        <v>0</v>
      </c>
      <c r="L685" t="s">
        <v>21</v>
      </c>
      <c r="M685" t="s">
        <v>61</v>
      </c>
      <c r="N685" s="5" t="s">
        <v>31</v>
      </c>
      <c r="O685">
        <f>TBL_Employees[[#This Row],[Bonus %]]*TBL_Employees[[#This Row],[Annual Salary]]</f>
        <v>0</v>
      </c>
      <c r="P685" t="str">
        <f>IF(TBL_Employees[[#This Row],[Age]]&gt;50,"Senior","Junior")</f>
        <v>Junior</v>
      </c>
      <c r="Q685" s="14" t="str">
        <f>IF(OR(D685="IT", J685&gt;100000), "YES", "NO")</f>
        <v>YES</v>
      </c>
      <c r="R685" s="14">
        <f>YEAR(TBL_Employees[[#This Row],[Hire Date]])</f>
        <v>2017</v>
      </c>
    </row>
    <row r="686" spans="1:18" x14ac:dyDescent="0.35">
      <c r="A686" t="s">
        <v>1322</v>
      </c>
      <c r="B686" t="s">
        <v>1405</v>
      </c>
      <c r="C686" t="s">
        <v>16</v>
      </c>
      <c r="D686" t="s">
        <v>60</v>
      </c>
      <c r="E686" t="s">
        <v>50</v>
      </c>
      <c r="F686" t="s">
        <v>19</v>
      </c>
      <c r="G686" t="s">
        <v>20</v>
      </c>
      <c r="H686">
        <v>31</v>
      </c>
      <c r="I686" s="5">
        <v>42755</v>
      </c>
      <c r="J686" s="11">
        <v>124629</v>
      </c>
      <c r="K686" s="6">
        <v>0.1</v>
      </c>
      <c r="L686" t="s">
        <v>21</v>
      </c>
      <c r="M686" t="s">
        <v>89</v>
      </c>
      <c r="N686" s="5" t="s">
        <v>31</v>
      </c>
      <c r="O686">
        <f>TBL_Employees[[#This Row],[Bonus %]]*TBL_Employees[[#This Row],[Annual Salary]]</f>
        <v>12462.900000000001</v>
      </c>
      <c r="P686" t="str">
        <f>IF(TBL_Employees[[#This Row],[Age]]&gt;50,"Senior","Junior")</f>
        <v>Junior</v>
      </c>
      <c r="Q686" s="14" t="str">
        <f>IF(OR(D686="IT", J686&gt;100000), "YES", "NO")</f>
        <v>YES</v>
      </c>
      <c r="R686" s="14">
        <f>YEAR(TBL_Employees[[#This Row],[Hire Date]])</f>
        <v>2017</v>
      </c>
    </row>
    <row r="687" spans="1:18" x14ac:dyDescent="0.35">
      <c r="A687" t="s">
        <v>1406</v>
      </c>
      <c r="B687" t="s">
        <v>1407</v>
      </c>
      <c r="C687" t="s">
        <v>80</v>
      </c>
      <c r="D687" t="s">
        <v>66</v>
      </c>
      <c r="E687" t="s">
        <v>36</v>
      </c>
      <c r="F687" t="s">
        <v>19</v>
      </c>
      <c r="G687" t="s">
        <v>37</v>
      </c>
      <c r="H687">
        <v>28</v>
      </c>
      <c r="I687" s="5">
        <v>44402</v>
      </c>
      <c r="J687" s="11">
        <v>231850</v>
      </c>
      <c r="K687" s="6">
        <v>0.39</v>
      </c>
      <c r="L687" t="s">
        <v>21</v>
      </c>
      <c r="M687" t="s">
        <v>57</v>
      </c>
      <c r="N687" s="5" t="s">
        <v>31</v>
      </c>
      <c r="O687">
        <f>TBL_Employees[[#This Row],[Bonus %]]*TBL_Employees[[#This Row],[Annual Salary]]</f>
        <v>90421.5</v>
      </c>
      <c r="P687" t="str">
        <f>IF(TBL_Employees[[#This Row],[Age]]&gt;50,"Senior","Junior")</f>
        <v>Junior</v>
      </c>
      <c r="Q687" s="14" t="str">
        <f>IF(OR(D687="IT", J687&gt;100000), "YES", "NO")</f>
        <v>YES</v>
      </c>
      <c r="R687" s="14">
        <f>YEAR(TBL_Employees[[#This Row],[Hire Date]])</f>
        <v>2021</v>
      </c>
    </row>
    <row r="688" spans="1:18" x14ac:dyDescent="0.35">
      <c r="A688" t="s">
        <v>1408</v>
      </c>
      <c r="B688" t="s">
        <v>1409</v>
      </c>
      <c r="C688" t="s">
        <v>53</v>
      </c>
      <c r="D688" t="s">
        <v>60</v>
      </c>
      <c r="E688" t="s">
        <v>18</v>
      </c>
      <c r="F688" t="s">
        <v>27</v>
      </c>
      <c r="G688" t="s">
        <v>86</v>
      </c>
      <c r="H688">
        <v>34</v>
      </c>
      <c r="I688" s="5">
        <v>43255</v>
      </c>
      <c r="J688" s="11">
        <v>128329</v>
      </c>
      <c r="K688" s="6">
        <v>0.08</v>
      </c>
      <c r="L688" t="s">
        <v>21</v>
      </c>
      <c r="M688" t="s">
        <v>45</v>
      </c>
      <c r="N688" s="5" t="s">
        <v>31</v>
      </c>
      <c r="O688">
        <f>TBL_Employees[[#This Row],[Bonus %]]*TBL_Employees[[#This Row],[Annual Salary]]</f>
        <v>10266.32</v>
      </c>
      <c r="P688" t="str">
        <f>IF(TBL_Employees[[#This Row],[Age]]&gt;50,"Senior","Junior")</f>
        <v>Junior</v>
      </c>
      <c r="Q688" s="14" t="str">
        <f>IF(OR(D688="IT", J688&gt;100000), "YES", "NO")</f>
        <v>YES</v>
      </c>
      <c r="R688" s="14">
        <f>YEAR(TBL_Employees[[#This Row],[Hire Date]])</f>
        <v>2018</v>
      </c>
    </row>
    <row r="689" spans="1:18" x14ac:dyDescent="0.35">
      <c r="A689" t="s">
        <v>1410</v>
      </c>
      <c r="B689" t="s">
        <v>1411</v>
      </c>
      <c r="C689" t="s">
        <v>80</v>
      </c>
      <c r="D689" t="s">
        <v>81</v>
      </c>
      <c r="E689" t="s">
        <v>36</v>
      </c>
      <c r="F689" t="s">
        <v>27</v>
      </c>
      <c r="G689" t="s">
        <v>86</v>
      </c>
      <c r="H689">
        <v>44</v>
      </c>
      <c r="I689" s="5">
        <v>44283</v>
      </c>
      <c r="J689" s="11">
        <v>186033</v>
      </c>
      <c r="K689" s="6">
        <v>0.34</v>
      </c>
      <c r="L689" t="s">
        <v>94</v>
      </c>
      <c r="M689" t="s">
        <v>219</v>
      </c>
      <c r="N689" s="5" t="s">
        <v>31</v>
      </c>
      <c r="O689">
        <f>TBL_Employees[[#This Row],[Bonus %]]*TBL_Employees[[#This Row],[Annual Salary]]</f>
        <v>63251.22</v>
      </c>
      <c r="P689" t="str">
        <f>IF(TBL_Employees[[#This Row],[Age]]&gt;50,"Senior","Junior")</f>
        <v>Junior</v>
      </c>
      <c r="Q689" s="14" t="str">
        <f>IF(OR(D689="IT", J689&gt;100000), "YES", "NO")</f>
        <v>YES</v>
      </c>
      <c r="R689" s="14">
        <f>YEAR(TBL_Employees[[#This Row],[Hire Date]])</f>
        <v>2021</v>
      </c>
    </row>
    <row r="690" spans="1:18" x14ac:dyDescent="0.35">
      <c r="A690" t="s">
        <v>1412</v>
      </c>
      <c r="B690" t="s">
        <v>1413</v>
      </c>
      <c r="C690" t="s">
        <v>16</v>
      </c>
      <c r="D690" t="s">
        <v>81</v>
      </c>
      <c r="E690" t="s">
        <v>26</v>
      </c>
      <c r="F690" t="s">
        <v>27</v>
      </c>
      <c r="G690" t="s">
        <v>28</v>
      </c>
      <c r="H690">
        <v>60</v>
      </c>
      <c r="I690" s="5">
        <v>44403</v>
      </c>
      <c r="J690" s="11">
        <v>121480</v>
      </c>
      <c r="K690" s="6">
        <v>0.14000000000000001</v>
      </c>
      <c r="L690" t="s">
        <v>21</v>
      </c>
      <c r="M690" t="s">
        <v>45</v>
      </c>
      <c r="N690" s="5" t="s">
        <v>31</v>
      </c>
      <c r="O690">
        <f>TBL_Employees[[#This Row],[Bonus %]]*TBL_Employees[[#This Row],[Annual Salary]]</f>
        <v>17007.2</v>
      </c>
      <c r="P690" t="str">
        <f>IF(TBL_Employees[[#This Row],[Age]]&gt;50,"Senior","Junior")</f>
        <v>Senior</v>
      </c>
      <c r="Q690" s="14" t="str">
        <f>IF(OR(D690="IT", J690&gt;100000), "YES", "NO")</f>
        <v>YES</v>
      </c>
      <c r="R690" s="14">
        <f>YEAR(TBL_Employees[[#This Row],[Hire Date]])</f>
        <v>2021</v>
      </c>
    </row>
    <row r="691" spans="1:18" x14ac:dyDescent="0.35">
      <c r="A691" t="s">
        <v>1414</v>
      </c>
      <c r="B691" t="s">
        <v>1415</v>
      </c>
      <c r="C691" t="s">
        <v>34</v>
      </c>
      <c r="D691" t="s">
        <v>66</v>
      </c>
      <c r="E691" t="s">
        <v>36</v>
      </c>
      <c r="F691" t="s">
        <v>19</v>
      </c>
      <c r="G691" t="s">
        <v>37</v>
      </c>
      <c r="H691">
        <v>41</v>
      </c>
      <c r="I691" s="5">
        <v>40319</v>
      </c>
      <c r="J691" s="11">
        <v>153275</v>
      </c>
      <c r="K691" s="6">
        <v>0.24</v>
      </c>
      <c r="L691" t="s">
        <v>21</v>
      </c>
      <c r="M691" t="s">
        <v>89</v>
      </c>
      <c r="N691" s="5" t="s">
        <v>31</v>
      </c>
      <c r="O691">
        <f>TBL_Employees[[#This Row],[Bonus %]]*TBL_Employees[[#This Row],[Annual Salary]]</f>
        <v>36786</v>
      </c>
      <c r="P691" t="str">
        <f>IF(TBL_Employees[[#This Row],[Age]]&gt;50,"Senior","Junior")</f>
        <v>Junior</v>
      </c>
      <c r="Q691" s="14" t="str">
        <f>IF(OR(D691="IT", J691&gt;100000), "YES", "NO")</f>
        <v>YES</v>
      </c>
      <c r="R691" s="14">
        <f>YEAR(TBL_Employees[[#This Row],[Hire Date]])</f>
        <v>2010</v>
      </c>
    </row>
    <row r="692" spans="1:18" x14ac:dyDescent="0.35">
      <c r="A692" t="s">
        <v>1416</v>
      </c>
      <c r="B692" t="s">
        <v>1417</v>
      </c>
      <c r="C692" t="s">
        <v>44</v>
      </c>
      <c r="D692" t="s">
        <v>49</v>
      </c>
      <c r="E692" t="s">
        <v>18</v>
      </c>
      <c r="F692" t="s">
        <v>19</v>
      </c>
      <c r="G692" t="s">
        <v>28</v>
      </c>
      <c r="H692">
        <v>62</v>
      </c>
      <c r="I692" s="5">
        <v>43969</v>
      </c>
      <c r="J692" s="11">
        <v>97830</v>
      </c>
      <c r="K692" s="6">
        <v>0</v>
      </c>
      <c r="L692" t="s">
        <v>21</v>
      </c>
      <c r="M692" t="s">
        <v>61</v>
      </c>
      <c r="N692" s="5" t="s">
        <v>31</v>
      </c>
      <c r="O692">
        <f>TBL_Employees[[#This Row],[Bonus %]]*TBL_Employees[[#This Row],[Annual Salary]]</f>
        <v>0</v>
      </c>
      <c r="P692" t="str">
        <f>IF(TBL_Employees[[#This Row],[Age]]&gt;50,"Senior","Junior")</f>
        <v>Senior</v>
      </c>
      <c r="Q692" s="14" t="str">
        <f>IF(OR(D692="IT", J692&gt;100000), "YES", "NO")</f>
        <v>NO</v>
      </c>
      <c r="R692" s="14">
        <f>YEAR(TBL_Employees[[#This Row],[Hire Date]])</f>
        <v>2020</v>
      </c>
    </row>
    <row r="693" spans="1:18" x14ac:dyDescent="0.35">
      <c r="A693" t="s">
        <v>1418</v>
      </c>
      <c r="B693" t="s">
        <v>1419</v>
      </c>
      <c r="C693" t="s">
        <v>80</v>
      </c>
      <c r="D693" t="s">
        <v>81</v>
      </c>
      <c r="E693" t="s">
        <v>50</v>
      </c>
      <c r="F693" t="s">
        <v>19</v>
      </c>
      <c r="G693" t="s">
        <v>86</v>
      </c>
      <c r="H693">
        <v>47</v>
      </c>
      <c r="I693" s="5">
        <v>36232</v>
      </c>
      <c r="J693" s="11">
        <v>239394</v>
      </c>
      <c r="K693" s="6">
        <v>0.32</v>
      </c>
      <c r="L693" t="s">
        <v>21</v>
      </c>
      <c r="M693" t="s">
        <v>61</v>
      </c>
      <c r="N693" s="5" t="s">
        <v>31</v>
      </c>
      <c r="O693">
        <f>TBL_Employees[[#This Row],[Bonus %]]*TBL_Employees[[#This Row],[Annual Salary]]</f>
        <v>76606.080000000002</v>
      </c>
      <c r="P693" t="str">
        <f>IF(TBL_Employees[[#This Row],[Age]]&gt;50,"Senior","Junior")</f>
        <v>Junior</v>
      </c>
      <c r="Q693" s="14" t="str">
        <f>IF(OR(D693="IT", J693&gt;100000), "YES", "NO")</f>
        <v>YES</v>
      </c>
      <c r="R693" s="14">
        <f>YEAR(TBL_Employees[[#This Row],[Hire Date]])</f>
        <v>1999</v>
      </c>
    </row>
    <row r="694" spans="1:18" x14ac:dyDescent="0.35">
      <c r="A694" t="s">
        <v>668</v>
      </c>
      <c r="B694" t="s">
        <v>1420</v>
      </c>
      <c r="C694" t="s">
        <v>56</v>
      </c>
      <c r="D694" t="s">
        <v>35</v>
      </c>
      <c r="E694" t="s">
        <v>36</v>
      </c>
      <c r="F694" t="s">
        <v>19</v>
      </c>
      <c r="G694" t="s">
        <v>28</v>
      </c>
      <c r="H694">
        <v>62</v>
      </c>
      <c r="I694" s="5">
        <v>37519</v>
      </c>
      <c r="J694" s="11">
        <v>49738</v>
      </c>
      <c r="K694" s="6">
        <v>0</v>
      </c>
      <c r="L694" t="s">
        <v>29</v>
      </c>
      <c r="M694" t="s">
        <v>115</v>
      </c>
      <c r="N694" s="5" t="s">
        <v>31</v>
      </c>
      <c r="O694">
        <f>TBL_Employees[[#This Row],[Bonus %]]*TBL_Employees[[#This Row],[Annual Salary]]</f>
        <v>0</v>
      </c>
      <c r="P694" t="str">
        <f>IF(TBL_Employees[[#This Row],[Age]]&gt;50,"Senior","Junior")</f>
        <v>Senior</v>
      </c>
      <c r="Q694" s="14" t="str">
        <f>IF(OR(D694="IT", J694&gt;100000), "YES", "NO")</f>
        <v>NO</v>
      </c>
      <c r="R694" s="14">
        <f>YEAR(TBL_Employees[[#This Row],[Hire Date]])</f>
        <v>2002</v>
      </c>
    </row>
    <row r="695" spans="1:18" x14ac:dyDescent="0.35">
      <c r="A695" t="s">
        <v>1421</v>
      </c>
      <c r="B695" t="s">
        <v>1422</v>
      </c>
      <c r="C695" t="s">
        <v>56</v>
      </c>
      <c r="D695" t="s">
        <v>60</v>
      </c>
      <c r="E695" t="s">
        <v>26</v>
      </c>
      <c r="F695" t="s">
        <v>19</v>
      </c>
      <c r="G695" t="s">
        <v>86</v>
      </c>
      <c r="H695">
        <v>33</v>
      </c>
      <c r="I695" s="5">
        <v>43247</v>
      </c>
      <c r="J695" s="11">
        <v>45049</v>
      </c>
      <c r="K695" s="6">
        <v>0</v>
      </c>
      <c r="L695" t="s">
        <v>21</v>
      </c>
      <c r="M695" t="s">
        <v>22</v>
      </c>
      <c r="N695" s="5" t="s">
        <v>31</v>
      </c>
      <c r="O695">
        <f>TBL_Employees[[#This Row],[Bonus %]]*TBL_Employees[[#This Row],[Annual Salary]]</f>
        <v>0</v>
      </c>
      <c r="P695" t="str">
        <f>IF(TBL_Employees[[#This Row],[Age]]&gt;50,"Senior","Junior")</f>
        <v>Junior</v>
      </c>
      <c r="Q695" s="14" t="str">
        <f>IF(OR(D695="IT", J695&gt;100000), "YES", "NO")</f>
        <v>NO</v>
      </c>
      <c r="R695" s="14">
        <f>YEAR(TBL_Employees[[#This Row],[Hire Date]])</f>
        <v>2018</v>
      </c>
    </row>
    <row r="696" spans="1:18" x14ac:dyDescent="0.35">
      <c r="A696" t="s">
        <v>1423</v>
      </c>
      <c r="B696" t="s">
        <v>1424</v>
      </c>
      <c r="C696" t="s">
        <v>34</v>
      </c>
      <c r="D696" t="s">
        <v>35</v>
      </c>
      <c r="E696" t="s">
        <v>18</v>
      </c>
      <c r="F696" t="s">
        <v>19</v>
      </c>
      <c r="G696" t="s">
        <v>28</v>
      </c>
      <c r="H696">
        <v>27</v>
      </c>
      <c r="I696" s="5">
        <v>43977</v>
      </c>
      <c r="J696" s="11">
        <v>153628</v>
      </c>
      <c r="K696" s="6">
        <v>0.28999999999999998</v>
      </c>
      <c r="L696" t="s">
        <v>29</v>
      </c>
      <c r="M696" t="s">
        <v>30</v>
      </c>
      <c r="N696" s="5">
        <v>44177</v>
      </c>
      <c r="O696">
        <f>TBL_Employees[[#This Row],[Bonus %]]*TBL_Employees[[#This Row],[Annual Salary]]</f>
        <v>44552.119999999995</v>
      </c>
      <c r="P696" t="str">
        <f>IF(TBL_Employees[[#This Row],[Age]]&gt;50,"Senior","Junior")</f>
        <v>Junior</v>
      </c>
      <c r="Q696" s="14" t="str">
        <f>IF(OR(D696="IT", J696&gt;100000), "YES", "NO")</f>
        <v>YES</v>
      </c>
      <c r="R696" s="14">
        <f>YEAR(TBL_Employees[[#This Row],[Hire Date]])</f>
        <v>2020</v>
      </c>
    </row>
    <row r="697" spans="1:18" x14ac:dyDescent="0.35">
      <c r="A697" t="s">
        <v>1425</v>
      </c>
      <c r="B697" t="s">
        <v>1426</v>
      </c>
      <c r="C697" t="s">
        <v>16</v>
      </c>
      <c r="D697" t="s">
        <v>49</v>
      </c>
      <c r="E697" t="s">
        <v>26</v>
      </c>
      <c r="F697" t="s">
        <v>27</v>
      </c>
      <c r="G697" t="s">
        <v>28</v>
      </c>
      <c r="H697">
        <v>25</v>
      </c>
      <c r="I697" s="5">
        <v>44362</v>
      </c>
      <c r="J697" s="11">
        <v>142731</v>
      </c>
      <c r="K697" s="6">
        <v>0.11</v>
      </c>
      <c r="L697" t="s">
        <v>29</v>
      </c>
      <c r="M697" t="s">
        <v>75</v>
      </c>
      <c r="N697" s="5">
        <v>44715</v>
      </c>
      <c r="O697">
        <f>TBL_Employees[[#This Row],[Bonus %]]*TBL_Employees[[#This Row],[Annual Salary]]</f>
        <v>15700.41</v>
      </c>
      <c r="P697" t="str">
        <f>IF(TBL_Employees[[#This Row],[Age]]&gt;50,"Senior","Junior")</f>
        <v>Junior</v>
      </c>
      <c r="Q697" s="14" t="str">
        <f>IF(OR(D697="IT", J697&gt;100000), "YES", "NO")</f>
        <v>YES</v>
      </c>
      <c r="R697" s="14">
        <f>YEAR(TBL_Employees[[#This Row],[Hire Date]])</f>
        <v>2021</v>
      </c>
    </row>
    <row r="698" spans="1:18" x14ac:dyDescent="0.35">
      <c r="A698" t="s">
        <v>1427</v>
      </c>
      <c r="B698" t="s">
        <v>1428</v>
      </c>
      <c r="C698" t="s">
        <v>16</v>
      </c>
      <c r="D698" t="s">
        <v>81</v>
      </c>
      <c r="E698" t="s">
        <v>36</v>
      </c>
      <c r="F698" t="s">
        <v>19</v>
      </c>
      <c r="G698" t="s">
        <v>86</v>
      </c>
      <c r="H698">
        <v>29</v>
      </c>
      <c r="I698" s="5">
        <v>43966</v>
      </c>
      <c r="J698" s="11">
        <v>137106</v>
      </c>
      <c r="K698" s="6">
        <v>0.12</v>
      </c>
      <c r="L698" t="s">
        <v>94</v>
      </c>
      <c r="M698" t="s">
        <v>219</v>
      </c>
      <c r="N698" s="5" t="s">
        <v>31</v>
      </c>
      <c r="O698">
        <f>TBL_Employees[[#This Row],[Bonus %]]*TBL_Employees[[#This Row],[Annual Salary]]</f>
        <v>16452.72</v>
      </c>
      <c r="P698" t="str">
        <f>IF(TBL_Employees[[#This Row],[Age]]&gt;50,"Senior","Junior")</f>
        <v>Junior</v>
      </c>
      <c r="Q698" s="14" t="str">
        <f>IF(OR(D698="IT", J698&gt;100000), "YES", "NO")</f>
        <v>YES</v>
      </c>
      <c r="R698" s="14">
        <f>YEAR(TBL_Employees[[#This Row],[Hire Date]])</f>
        <v>2020</v>
      </c>
    </row>
    <row r="699" spans="1:18" x14ac:dyDescent="0.35">
      <c r="A699" t="s">
        <v>253</v>
      </c>
      <c r="B699" t="s">
        <v>1429</v>
      </c>
      <c r="C699" t="s">
        <v>80</v>
      </c>
      <c r="D699" t="s">
        <v>35</v>
      </c>
      <c r="E699" t="s">
        <v>50</v>
      </c>
      <c r="F699" t="s">
        <v>19</v>
      </c>
      <c r="G699" t="s">
        <v>28</v>
      </c>
      <c r="H699">
        <v>54</v>
      </c>
      <c r="I699" s="5">
        <v>39330</v>
      </c>
      <c r="J699" s="11">
        <v>183239</v>
      </c>
      <c r="K699" s="6">
        <v>0.32</v>
      </c>
      <c r="L699" t="s">
        <v>21</v>
      </c>
      <c r="M699" t="s">
        <v>22</v>
      </c>
      <c r="N699" s="5" t="s">
        <v>31</v>
      </c>
      <c r="O699">
        <f>TBL_Employees[[#This Row],[Bonus %]]*TBL_Employees[[#This Row],[Annual Salary]]</f>
        <v>58636.480000000003</v>
      </c>
      <c r="P699" t="str">
        <f>IF(TBL_Employees[[#This Row],[Age]]&gt;50,"Senior","Junior")</f>
        <v>Senior</v>
      </c>
      <c r="Q699" s="14" t="str">
        <f>IF(OR(D699="IT", J699&gt;100000), "YES", "NO")</f>
        <v>YES</v>
      </c>
      <c r="R699" s="14">
        <f>YEAR(TBL_Employees[[#This Row],[Hire Date]])</f>
        <v>2007</v>
      </c>
    </row>
    <row r="700" spans="1:18" x14ac:dyDescent="0.35">
      <c r="A700" t="s">
        <v>1021</v>
      </c>
      <c r="B700" t="s">
        <v>1430</v>
      </c>
      <c r="C700" t="s">
        <v>56</v>
      </c>
      <c r="D700" t="s">
        <v>60</v>
      </c>
      <c r="E700" t="s">
        <v>26</v>
      </c>
      <c r="F700" t="s">
        <v>19</v>
      </c>
      <c r="G700" t="s">
        <v>37</v>
      </c>
      <c r="H700">
        <v>28</v>
      </c>
      <c r="I700" s="5">
        <v>43610</v>
      </c>
      <c r="J700" s="11">
        <v>45819</v>
      </c>
      <c r="K700" s="6">
        <v>0</v>
      </c>
      <c r="L700" t="s">
        <v>21</v>
      </c>
      <c r="M700" t="s">
        <v>57</v>
      </c>
      <c r="N700" s="5" t="s">
        <v>31</v>
      </c>
      <c r="O700">
        <f>TBL_Employees[[#This Row],[Bonus %]]*TBL_Employees[[#This Row],[Annual Salary]]</f>
        <v>0</v>
      </c>
      <c r="P700" t="str">
        <f>IF(TBL_Employees[[#This Row],[Age]]&gt;50,"Senior","Junior")</f>
        <v>Junior</v>
      </c>
      <c r="Q700" s="14" t="str">
        <f>IF(OR(D700="IT", J700&gt;100000), "YES", "NO")</f>
        <v>NO</v>
      </c>
      <c r="R700" s="14">
        <f>YEAR(TBL_Employees[[#This Row],[Hire Date]])</f>
        <v>2019</v>
      </c>
    </row>
    <row r="701" spans="1:18" x14ac:dyDescent="0.35">
      <c r="A701" t="s">
        <v>1431</v>
      </c>
      <c r="B701" t="s">
        <v>1432</v>
      </c>
      <c r="C701" t="s">
        <v>56</v>
      </c>
      <c r="D701" t="s">
        <v>60</v>
      </c>
      <c r="E701" t="s">
        <v>18</v>
      </c>
      <c r="F701" t="s">
        <v>19</v>
      </c>
      <c r="G701" t="s">
        <v>28</v>
      </c>
      <c r="H701">
        <v>54</v>
      </c>
      <c r="I701" s="5">
        <v>39080</v>
      </c>
      <c r="J701" s="11">
        <v>55518</v>
      </c>
      <c r="K701" s="6">
        <v>0</v>
      </c>
      <c r="L701" t="s">
        <v>21</v>
      </c>
      <c r="M701" t="s">
        <v>89</v>
      </c>
      <c r="N701" s="5" t="s">
        <v>31</v>
      </c>
      <c r="O701">
        <f>TBL_Employees[[#This Row],[Bonus %]]*TBL_Employees[[#This Row],[Annual Salary]]</f>
        <v>0</v>
      </c>
      <c r="P701" t="str">
        <f>IF(TBL_Employees[[#This Row],[Age]]&gt;50,"Senior","Junior")</f>
        <v>Senior</v>
      </c>
      <c r="Q701" s="14" t="str">
        <f>IF(OR(D701="IT", J701&gt;100000), "YES", "NO")</f>
        <v>NO</v>
      </c>
      <c r="R701" s="14">
        <f>YEAR(TBL_Employees[[#This Row],[Hire Date]])</f>
        <v>2006</v>
      </c>
    </row>
    <row r="702" spans="1:18" x14ac:dyDescent="0.35">
      <c r="A702" t="s">
        <v>1433</v>
      </c>
      <c r="B702" t="s">
        <v>1434</v>
      </c>
      <c r="C702" t="s">
        <v>53</v>
      </c>
      <c r="D702" t="s">
        <v>81</v>
      </c>
      <c r="E702" t="s">
        <v>26</v>
      </c>
      <c r="F702" t="s">
        <v>19</v>
      </c>
      <c r="G702" t="s">
        <v>28</v>
      </c>
      <c r="H702">
        <v>50</v>
      </c>
      <c r="I702" s="5">
        <v>40979</v>
      </c>
      <c r="J702" s="11">
        <v>108134</v>
      </c>
      <c r="K702" s="6">
        <v>0.1</v>
      </c>
      <c r="L702" t="s">
        <v>29</v>
      </c>
      <c r="M702" t="s">
        <v>75</v>
      </c>
      <c r="N702" s="5" t="s">
        <v>31</v>
      </c>
      <c r="O702">
        <f>TBL_Employees[[#This Row],[Bonus %]]*TBL_Employees[[#This Row],[Annual Salary]]</f>
        <v>10813.400000000001</v>
      </c>
      <c r="P702" t="str">
        <f>IF(TBL_Employees[[#This Row],[Age]]&gt;50,"Senior","Junior")</f>
        <v>Junior</v>
      </c>
      <c r="Q702" s="14" t="str">
        <f>IF(OR(D702="IT", J702&gt;100000), "YES", "NO")</f>
        <v>YES</v>
      </c>
      <c r="R702" s="14">
        <f>YEAR(TBL_Employees[[#This Row],[Hire Date]])</f>
        <v>2012</v>
      </c>
    </row>
    <row r="703" spans="1:18" x14ac:dyDescent="0.35">
      <c r="A703" t="s">
        <v>1435</v>
      </c>
      <c r="B703" t="s">
        <v>1436</v>
      </c>
      <c r="C703" t="s">
        <v>53</v>
      </c>
      <c r="D703" t="s">
        <v>81</v>
      </c>
      <c r="E703" t="s">
        <v>18</v>
      </c>
      <c r="F703" t="s">
        <v>19</v>
      </c>
      <c r="G703" t="s">
        <v>20</v>
      </c>
      <c r="H703">
        <v>55</v>
      </c>
      <c r="I703" s="5">
        <v>33958</v>
      </c>
      <c r="J703" s="11">
        <v>113950</v>
      </c>
      <c r="K703" s="6">
        <v>0.09</v>
      </c>
      <c r="L703" t="s">
        <v>21</v>
      </c>
      <c r="M703" t="s">
        <v>57</v>
      </c>
      <c r="N703" s="5" t="s">
        <v>31</v>
      </c>
      <c r="O703">
        <f>TBL_Employees[[#This Row],[Bonus %]]*TBL_Employees[[#This Row],[Annual Salary]]</f>
        <v>10255.5</v>
      </c>
      <c r="P703" t="str">
        <f>IF(TBL_Employees[[#This Row],[Age]]&gt;50,"Senior","Junior")</f>
        <v>Senior</v>
      </c>
      <c r="Q703" s="14" t="str">
        <f>IF(OR(D703="IT", J703&gt;100000), "YES", "NO")</f>
        <v>YES</v>
      </c>
      <c r="R703" s="14">
        <f>YEAR(TBL_Employees[[#This Row],[Hire Date]])</f>
        <v>1992</v>
      </c>
    </row>
    <row r="704" spans="1:18" x14ac:dyDescent="0.35">
      <c r="A704" t="s">
        <v>1069</v>
      </c>
      <c r="B704" t="s">
        <v>1437</v>
      </c>
      <c r="C704" t="s">
        <v>80</v>
      </c>
      <c r="D704" t="s">
        <v>81</v>
      </c>
      <c r="E704" t="s">
        <v>36</v>
      </c>
      <c r="F704" t="s">
        <v>19</v>
      </c>
      <c r="G704" t="s">
        <v>28</v>
      </c>
      <c r="H704">
        <v>52</v>
      </c>
      <c r="I704" s="5">
        <v>35886</v>
      </c>
      <c r="J704" s="11">
        <v>182035</v>
      </c>
      <c r="K704" s="6">
        <v>0.3</v>
      </c>
      <c r="L704" t="s">
        <v>21</v>
      </c>
      <c r="M704" t="s">
        <v>38</v>
      </c>
      <c r="N704" s="5" t="s">
        <v>31</v>
      </c>
      <c r="O704">
        <f>TBL_Employees[[#This Row],[Bonus %]]*TBL_Employees[[#This Row],[Annual Salary]]</f>
        <v>54610.5</v>
      </c>
      <c r="P704" t="str">
        <f>IF(TBL_Employees[[#This Row],[Age]]&gt;50,"Senior","Junior")</f>
        <v>Senior</v>
      </c>
      <c r="Q704" s="14" t="str">
        <f>IF(OR(D704="IT", J704&gt;100000), "YES", "NO")</f>
        <v>YES</v>
      </c>
      <c r="R704" s="14">
        <f>YEAR(TBL_Employees[[#This Row],[Hire Date]])</f>
        <v>1998</v>
      </c>
    </row>
    <row r="705" spans="1:18" x14ac:dyDescent="0.35">
      <c r="A705" t="s">
        <v>206</v>
      </c>
      <c r="B705" t="s">
        <v>1438</v>
      </c>
      <c r="C705" t="s">
        <v>34</v>
      </c>
      <c r="D705" t="s">
        <v>60</v>
      </c>
      <c r="E705" t="s">
        <v>36</v>
      </c>
      <c r="F705" t="s">
        <v>27</v>
      </c>
      <c r="G705" t="s">
        <v>28</v>
      </c>
      <c r="H705">
        <v>35</v>
      </c>
      <c r="I705" s="5">
        <v>42963</v>
      </c>
      <c r="J705" s="11">
        <v>181356</v>
      </c>
      <c r="K705" s="6">
        <v>0.23</v>
      </c>
      <c r="L705" t="s">
        <v>29</v>
      </c>
      <c r="M705" t="s">
        <v>115</v>
      </c>
      <c r="N705" s="5" t="s">
        <v>31</v>
      </c>
      <c r="O705">
        <f>TBL_Employees[[#This Row],[Bonus %]]*TBL_Employees[[#This Row],[Annual Salary]]</f>
        <v>41711.880000000005</v>
      </c>
      <c r="P705" t="str">
        <f>IF(TBL_Employees[[#This Row],[Age]]&gt;50,"Senior","Junior")</f>
        <v>Junior</v>
      </c>
      <c r="Q705" s="14" t="str">
        <f>IF(OR(D705="IT", J705&gt;100000), "YES", "NO")</f>
        <v>YES</v>
      </c>
      <c r="R705" s="14">
        <f>YEAR(TBL_Employees[[#This Row],[Hire Date]])</f>
        <v>2017</v>
      </c>
    </row>
    <row r="706" spans="1:18" x14ac:dyDescent="0.35">
      <c r="A706" t="s">
        <v>1439</v>
      </c>
      <c r="B706" t="s">
        <v>1440</v>
      </c>
      <c r="C706" t="s">
        <v>48</v>
      </c>
      <c r="D706" t="s">
        <v>49</v>
      </c>
      <c r="E706" t="s">
        <v>50</v>
      </c>
      <c r="F706" t="s">
        <v>19</v>
      </c>
      <c r="G706" t="s">
        <v>20</v>
      </c>
      <c r="H706">
        <v>26</v>
      </c>
      <c r="I706" s="5">
        <v>43698</v>
      </c>
      <c r="J706" s="11">
        <v>66084</v>
      </c>
      <c r="K706" s="6">
        <v>0</v>
      </c>
      <c r="L706" t="s">
        <v>21</v>
      </c>
      <c r="M706" t="s">
        <v>22</v>
      </c>
      <c r="N706" s="5" t="s">
        <v>31</v>
      </c>
      <c r="O706">
        <f>TBL_Employees[[#This Row],[Bonus %]]*TBL_Employees[[#This Row],[Annual Salary]]</f>
        <v>0</v>
      </c>
      <c r="P706" t="str">
        <f>IF(TBL_Employees[[#This Row],[Age]]&gt;50,"Senior","Junior")</f>
        <v>Junior</v>
      </c>
      <c r="Q706" s="14" t="str">
        <f>IF(OR(D706="IT", J706&gt;100000), "YES", "NO")</f>
        <v>NO</v>
      </c>
      <c r="R706" s="14">
        <f>YEAR(TBL_Employees[[#This Row],[Hire Date]])</f>
        <v>2019</v>
      </c>
    </row>
    <row r="707" spans="1:18" x14ac:dyDescent="0.35">
      <c r="A707" t="s">
        <v>1441</v>
      </c>
      <c r="B707" t="s">
        <v>1442</v>
      </c>
      <c r="C707" t="s">
        <v>373</v>
      </c>
      <c r="D707" t="s">
        <v>17</v>
      </c>
      <c r="E707" t="s">
        <v>36</v>
      </c>
      <c r="F707" t="s">
        <v>19</v>
      </c>
      <c r="G707" t="s">
        <v>86</v>
      </c>
      <c r="H707">
        <v>43</v>
      </c>
      <c r="I707" s="5">
        <v>40290</v>
      </c>
      <c r="J707" s="11">
        <v>76912</v>
      </c>
      <c r="K707" s="6">
        <v>0</v>
      </c>
      <c r="L707" t="s">
        <v>94</v>
      </c>
      <c r="M707" t="s">
        <v>219</v>
      </c>
      <c r="N707" s="5" t="s">
        <v>31</v>
      </c>
      <c r="O707">
        <f>TBL_Employees[[#This Row],[Bonus %]]*TBL_Employees[[#This Row],[Annual Salary]]</f>
        <v>0</v>
      </c>
      <c r="P707" t="str">
        <f>IF(TBL_Employees[[#This Row],[Age]]&gt;50,"Senior","Junior")</f>
        <v>Junior</v>
      </c>
      <c r="Q707" s="14" t="str">
        <f>IF(OR(D707="IT", J707&gt;100000), "YES", "NO")</f>
        <v>YES</v>
      </c>
      <c r="R707" s="14">
        <f>YEAR(TBL_Employees[[#This Row],[Hire Date]])</f>
        <v>2010</v>
      </c>
    </row>
    <row r="708" spans="1:18" x14ac:dyDescent="0.35">
      <c r="A708" t="s">
        <v>1443</v>
      </c>
      <c r="B708" t="s">
        <v>1444</v>
      </c>
      <c r="C708" t="s">
        <v>224</v>
      </c>
      <c r="D708" t="s">
        <v>70</v>
      </c>
      <c r="E708" t="s">
        <v>18</v>
      </c>
      <c r="F708" t="s">
        <v>19</v>
      </c>
      <c r="G708" t="s">
        <v>28</v>
      </c>
      <c r="H708">
        <v>63</v>
      </c>
      <c r="I708" s="5">
        <v>43227</v>
      </c>
      <c r="J708" s="11">
        <v>67987</v>
      </c>
      <c r="K708" s="6">
        <v>0</v>
      </c>
      <c r="L708" t="s">
        <v>21</v>
      </c>
      <c r="M708" t="s">
        <v>57</v>
      </c>
      <c r="N708" s="5" t="s">
        <v>31</v>
      </c>
      <c r="O708">
        <f>TBL_Employees[[#This Row],[Bonus %]]*TBL_Employees[[#This Row],[Annual Salary]]</f>
        <v>0</v>
      </c>
      <c r="P708" t="str">
        <f>IF(TBL_Employees[[#This Row],[Age]]&gt;50,"Senior","Junior")</f>
        <v>Senior</v>
      </c>
      <c r="Q708" s="14" t="str">
        <f>IF(OR(D708="IT", J708&gt;100000), "YES", "NO")</f>
        <v>NO</v>
      </c>
      <c r="R708" s="14">
        <f>YEAR(TBL_Employees[[#This Row],[Hire Date]])</f>
        <v>2018</v>
      </c>
    </row>
    <row r="709" spans="1:18" x14ac:dyDescent="0.35">
      <c r="A709" t="s">
        <v>1445</v>
      </c>
      <c r="B709" t="s">
        <v>1446</v>
      </c>
      <c r="C709" t="s">
        <v>125</v>
      </c>
      <c r="D709" t="s">
        <v>81</v>
      </c>
      <c r="E709" t="s">
        <v>26</v>
      </c>
      <c r="F709" t="s">
        <v>27</v>
      </c>
      <c r="G709" t="s">
        <v>37</v>
      </c>
      <c r="H709">
        <v>65</v>
      </c>
      <c r="I709" s="5">
        <v>38584</v>
      </c>
      <c r="J709" s="11">
        <v>59833</v>
      </c>
      <c r="K709" s="6">
        <v>0</v>
      </c>
      <c r="L709" t="s">
        <v>21</v>
      </c>
      <c r="M709" t="s">
        <v>89</v>
      </c>
      <c r="N709" s="5" t="s">
        <v>31</v>
      </c>
      <c r="O709">
        <f>TBL_Employees[[#This Row],[Bonus %]]*TBL_Employees[[#This Row],[Annual Salary]]</f>
        <v>0</v>
      </c>
      <c r="P709" t="str">
        <f>IF(TBL_Employees[[#This Row],[Age]]&gt;50,"Senior","Junior")</f>
        <v>Senior</v>
      </c>
      <c r="Q709" s="14" t="str">
        <f>IF(OR(D709="IT", J709&gt;100000), "YES", "NO")</f>
        <v>NO</v>
      </c>
      <c r="R709" s="14">
        <f>YEAR(TBL_Employees[[#This Row],[Hire Date]])</f>
        <v>2005</v>
      </c>
    </row>
    <row r="710" spans="1:18" x14ac:dyDescent="0.35">
      <c r="A710" t="s">
        <v>1447</v>
      </c>
      <c r="B710" t="s">
        <v>1448</v>
      </c>
      <c r="C710" t="s">
        <v>16</v>
      </c>
      <c r="D710" t="s">
        <v>81</v>
      </c>
      <c r="E710" t="s">
        <v>36</v>
      </c>
      <c r="F710" t="s">
        <v>27</v>
      </c>
      <c r="G710" t="s">
        <v>28</v>
      </c>
      <c r="H710">
        <v>45</v>
      </c>
      <c r="I710" s="5">
        <v>38453</v>
      </c>
      <c r="J710" s="11">
        <v>128468</v>
      </c>
      <c r="K710" s="6">
        <v>0.11</v>
      </c>
      <c r="L710" t="s">
        <v>21</v>
      </c>
      <c r="M710" t="s">
        <v>38</v>
      </c>
      <c r="N710" s="5" t="s">
        <v>31</v>
      </c>
      <c r="O710">
        <f>TBL_Employees[[#This Row],[Bonus %]]*TBL_Employees[[#This Row],[Annual Salary]]</f>
        <v>14131.48</v>
      </c>
      <c r="P710" t="str">
        <f>IF(TBL_Employees[[#This Row],[Age]]&gt;50,"Senior","Junior")</f>
        <v>Junior</v>
      </c>
      <c r="Q710" s="14" t="str">
        <f>IF(OR(D710="IT", J710&gt;100000), "YES", "NO")</f>
        <v>YES</v>
      </c>
      <c r="R710" s="14">
        <f>YEAR(TBL_Employees[[#This Row],[Hire Date]])</f>
        <v>2005</v>
      </c>
    </row>
    <row r="711" spans="1:18" x14ac:dyDescent="0.35">
      <c r="A711" t="s">
        <v>587</v>
      </c>
      <c r="B711" t="s">
        <v>1449</v>
      </c>
      <c r="C711" t="s">
        <v>53</v>
      </c>
      <c r="D711" t="s">
        <v>49</v>
      </c>
      <c r="E711" t="s">
        <v>50</v>
      </c>
      <c r="F711" t="s">
        <v>27</v>
      </c>
      <c r="G711" t="s">
        <v>20</v>
      </c>
      <c r="H711">
        <v>42</v>
      </c>
      <c r="I711" s="5">
        <v>40692</v>
      </c>
      <c r="J711" s="11">
        <v>102440</v>
      </c>
      <c r="K711" s="6">
        <v>0.06</v>
      </c>
      <c r="L711" t="s">
        <v>21</v>
      </c>
      <c r="M711" t="s">
        <v>38</v>
      </c>
      <c r="N711" s="5" t="s">
        <v>31</v>
      </c>
      <c r="O711">
        <f>TBL_Employees[[#This Row],[Bonus %]]*TBL_Employees[[#This Row],[Annual Salary]]</f>
        <v>6146.4</v>
      </c>
      <c r="P711" t="str">
        <f>IF(TBL_Employees[[#This Row],[Age]]&gt;50,"Senior","Junior")</f>
        <v>Junior</v>
      </c>
      <c r="Q711" s="14" t="str">
        <f>IF(OR(D711="IT", J711&gt;100000), "YES", "NO")</f>
        <v>YES</v>
      </c>
      <c r="R711" s="14">
        <f>YEAR(TBL_Employees[[#This Row],[Hire Date]])</f>
        <v>2011</v>
      </c>
    </row>
    <row r="712" spans="1:18" x14ac:dyDescent="0.35">
      <c r="A712" t="s">
        <v>1450</v>
      </c>
      <c r="B712" t="s">
        <v>1451</v>
      </c>
      <c r="C712" t="s">
        <v>80</v>
      </c>
      <c r="D712" t="s">
        <v>17</v>
      </c>
      <c r="E712" t="s">
        <v>36</v>
      </c>
      <c r="F712" t="s">
        <v>27</v>
      </c>
      <c r="G712" t="s">
        <v>20</v>
      </c>
      <c r="H712">
        <v>59</v>
      </c>
      <c r="I712" s="5">
        <v>40542</v>
      </c>
      <c r="J712" s="11">
        <v>246619</v>
      </c>
      <c r="K712" s="6">
        <v>0.36</v>
      </c>
      <c r="L712" t="s">
        <v>21</v>
      </c>
      <c r="M712" t="s">
        <v>57</v>
      </c>
      <c r="N712" s="5" t="s">
        <v>31</v>
      </c>
      <c r="O712">
        <f>TBL_Employees[[#This Row],[Bonus %]]*TBL_Employees[[#This Row],[Annual Salary]]</f>
        <v>88782.84</v>
      </c>
      <c r="P712" t="str">
        <f>IF(TBL_Employees[[#This Row],[Age]]&gt;50,"Senior","Junior")</f>
        <v>Senior</v>
      </c>
      <c r="Q712" s="14" t="str">
        <f>IF(OR(D712="IT", J712&gt;100000), "YES", "NO")</f>
        <v>YES</v>
      </c>
      <c r="R712" s="14">
        <f>YEAR(TBL_Employees[[#This Row],[Hire Date]])</f>
        <v>2010</v>
      </c>
    </row>
    <row r="713" spans="1:18" x14ac:dyDescent="0.35">
      <c r="A713" t="s">
        <v>1452</v>
      </c>
      <c r="B713" t="s">
        <v>1453</v>
      </c>
      <c r="C713" t="s">
        <v>53</v>
      </c>
      <c r="D713" t="s">
        <v>66</v>
      </c>
      <c r="E713" t="s">
        <v>50</v>
      </c>
      <c r="F713" t="s">
        <v>19</v>
      </c>
      <c r="G713" t="s">
        <v>86</v>
      </c>
      <c r="H713">
        <v>42</v>
      </c>
      <c r="I713" s="5">
        <v>43058</v>
      </c>
      <c r="J713" s="11">
        <v>101143</v>
      </c>
      <c r="K713" s="6">
        <v>0.06</v>
      </c>
      <c r="L713" t="s">
        <v>21</v>
      </c>
      <c r="M713" t="s">
        <v>57</v>
      </c>
      <c r="N713" s="5" t="s">
        <v>31</v>
      </c>
      <c r="O713">
        <f>TBL_Employees[[#This Row],[Bonus %]]*TBL_Employees[[#This Row],[Annual Salary]]</f>
        <v>6068.58</v>
      </c>
      <c r="P713" t="str">
        <f>IF(TBL_Employees[[#This Row],[Age]]&gt;50,"Senior","Junior")</f>
        <v>Junior</v>
      </c>
      <c r="Q713" s="14" t="str">
        <f>IF(OR(D713="IT", J713&gt;100000), "YES", "NO")</f>
        <v>YES</v>
      </c>
      <c r="R713" s="14">
        <f>YEAR(TBL_Employees[[#This Row],[Hire Date]])</f>
        <v>2017</v>
      </c>
    </row>
    <row r="714" spans="1:18" x14ac:dyDescent="0.35">
      <c r="A714" t="s">
        <v>1454</v>
      </c>
      <c r="B714" t="s">
        <v>1455</v>
      </c>
      <c r="C714" t="s">
        <v>185</v>
      </c>
      <c r="D714" t="s">
        <v>66</v>
      </c>
      <c r="E714" t="s">
        <v>26</v>
      </c>
      <c r="F714" t="s">
        <v>19</v>
      </c>
      <c r="G714" t="s">
        <v>86</v>
      </c>
      <c r="H714">
        <v>45</v>
      </c>
      <c r="I714" s="5">
        <v>38639</v>
      </c>
      <c r="J714" s="11">
        <v>51404</v>
      </c>
      <c r="K714" s="6">
        <v>0</v>
      </c>
      <c r="L714" t="s">
        <v>94</v>
      </c>
      <c r="M714" t="s">
        <v>95</v>
      </c>
      <c r="N714" s="5">
        <v>40153</v>
      </c>
      <c r="O714">
        <f>TBL_Employees[[#This Row],[Bonus %]]*TBL_Employees[[#This Row],[Annual Salary]]</f>
        <v>0</v>
      </c>
      <c r="P714" t="str">
        <f>IF(TBL_Employees[[#This Row],[Age]]&gt;50,"Senior","Junior")</f>
        <v>Junior</v>
      </c>
      <c r="Q714" s="14" t="str">
        <f>IF(OR(D714="IT", J714&gt;100000), "YES", "NO")</f>
        <v>NO</v>
      </c>
      <c r="R714" s="14">
        <f>YEAR(TBL_Employees[[#This Row],[Hire Date]])</f>
        <v>2005</v>
      </c>
    </row>
    <row r="715" spans="1:18" x14ac:dyDescent="0.35">
      <c r="A715" t="s">
        <v>1456</v>
      </c>
      <c r="B715" t="s">
        <v>1457</v>
      </c>
      <c r="C715" t="s">
        <v>176</v>
      </c>
      <c r="D715" t="s">
        <v>70</v>
      </c>
      <c r="E715" t="s">
        <v>36</v>
      </c>
      <c r="F715" t="s">
        <v>27</v>
      </c>
      <c r="G715" t="s">
        <v>37</v>
      </c>
      <c r="H715">
        <v>45</v>
      </c>
      <c r="I715" s="5">
        <v>42329</v>
      </c>
      <c r="J715" s="11">
        <v>87292</v>
      </c>
      <c r="K715" s="6">
        <v>0</v>
      </c>
      <c r="L715" t="s">
        <v>21</v>
      </c>
      <c r="M715" t="s">
        <v>89</v>
      </c>
      <c r="N715" s="5" t="s">
        <v>31</v>
      </c>
      <c r="O715">
        <f>TBL_Employees[[#This Row],[Bonus %]]*TBL_Employees[[#This Row],[Annual Salary]]</f>
        <v>0</v>
      </c>
      <c r="P715" t="str">
        <f>IF(TBL_Employees[[#This Row],[Age]]&gt;50,"Senior","Junior")</f>
        <v>Junior</v>
      </c>
      <c r="Q715" s="14" t="str">
        <f>IF(OR(D715="IT", J715&gt;100000), "YES", "NO")</f>
        <v>NO</v>
      </c>
      <c r="R715" s="14">
        <f>YEAR(TBL_Employees[[#This Row],[Hire Date]])</f>
        <v>2015</v>
      </c>
    </row>
    <row r="716" spans="1:18" x14ac:dyDescent="0.35">
      <c r="A716" t="s">
        <v>1458</v>
      </c>
      <c r="B716" t="s">
        <v>1459</v>
      </c>
      <c r="C716" t="s">
        <v>34</v>
      </c>
      <c r="D716" t="s">
        <v>81</v>
      </c>
      <c r="E716" t="s">
        <v>36</v>
      </c>
      <c r="F716" t="s">
        <v>19</v>
      </c>
      <c r="G716" t="s">
        <v>28</v>
      </c>
      <c r="H716">
        <v>28</v>
      </c>
      <c r="I716" s="5">
        <v>43810</v>
      </c>
      <c r="J716" s="11">
        <v>182321</v>
      </c>
      <c r="K716" s="6">
        <v>0.28000000000000003</v>
      </c>
      <c r="L716" t="s">
        <v>29</v>
      </c>
      <c r="M716" t="s">
        <v>115</v>
      </c>
      <c r="N716" s="5" t="s">
        <v>31</v>
      </c>
      <c r="O716">
        <f>TBL_Employees[[#This Row],[Bonus %]]*TBL_Employees[[#This Row],[Annual Salary]]</f>
        <v>51049.880000000005</v>
      </c>
      <c r="P716" t="str">
        <f>IF(TBL_Employees[[#This Row],[Age]]&gt;50,"Senior","Junior")</f>
        <v>Junior</v>
      </c>
      <c r="Q716" s="14" t="str">
        <f>IF(OR(D716="IT", J716&gt;100000), "YES", "NO")</f>
        <v>YES</v>
      </c>
      <c r="R716" s="14">
        <f>YEAR(TBL_Employees[[#This Row],[Hire Date]])</f>
        <v>2019</v>
      </c>
    </row>
    <row r="717" spans="1:18" x14ac:dyDescent="0.35">
      <c r="A717" t="s">
        <v>1322</v>
      </c>
      <c r="B717" t="s">
        <v>1460</v>
      </c>
      <c r="C717" t="s">
        <v>331</v>
      </c>
      <c r="D717" t="s">
        <v>17</v>
      </c>
      <c r="E717" t="s">
        <v>50</v>
      </c>
      <c r="F717" t="s">
        <v>27</v>
      </c>
      <c r="G717" t="s">
        <v>37</v>
      </c>
      <c r="H717">
        <v>51</v>
      </c>
      <c r="I717" s="5">
        <v>41697</v>
      </c>
      <c r="J717" s="11">
        <v>53929</v>
      </c>
      <c r="K717" s="6">
        <v>0</v>
      </c>
      <c r="L717" t="s">
        <v>21</v>
      </c>
      <c r="M717" t="s">
        <v>57</v>
      </c>
      <c r="N717" s="5">
        <v>43091</v>
      </c>
      <c r="O717">
        <f>TBL_Employees[[#This Row],[Bonus %]]*TBL_Employees[[#This Row],[Annual Salary]]</f>
        <v>0</v>
      </c>
      <c r="P717" t="str">
        <f>IF(TBL_Employees[[#This Row],[Age]]&gt;50,"Senior","Junior")</f>
        <v>Senior</v>
      </c>
      <c r="Q717" s="14" t="str">
        <f>IF(OR(D717="IT", J717&gt;100000), "YES", "NO")</f>
        <v>YES</v>
      </c>
      <c r="R717" s="14">
        <f>YEAR(TBL_Employees[[#This Row],[Hire Date]])</f>
        <v>2014</v>
      </c>
    </row>
    <row r="718" spans="1:18" x14ac:dyDescent="0.35">
      <c r="A718" t="s">
        <v>1461</v>
      </c>
      <c r="B718" t="s">
        <v>1462</v>
      </c>
      <c r="C718" t="s">
        <v>80</v>
      </c>
      <c r="D718" t="s">
        <v>60</v>
      </c>
      <c r="E718" t="s">
        <v>26</v>
      </c>
      <c r="F718" t="s">
        <v>19</v>
      </c>
      <c r="G718" t="s">
        <v>28</v>
      </c>
      <c r="H718">
        <v>38</v>
      </c>
      <c r="I718" s="5">
        <v>41256</v>
      </c>
      <c r="J718" s="11">
        <v>191571</v>
      </c>
      <c r="K718" s="6">
        <v>0.32</v>
      </c>
      <c r="L718" t="s">
        <v>21</v>
      </c>
      <c r="M718" t="s">
        <v>61</v>
      </c>
      <c r="N718" s="5" t="s">
        <v>31</v>
      </c>
      <c r="O718">
        <f>TBL_Employees[[#This Row],[Bonus %]]*TBL_Employees[[#This Row],[Annual Salary]]</f>
        <v>61302.720000000001</v>
      </c>
      <c r="P718" t="str">
        <f>IF(TBL_Employees[[#This Row],[Age]]&gt;50,"Senior","Junior")</f>
        <v>Junior</v>
      </c>
      <c r="Q718" s="14" t="str">
        <f>IF(OR(D718="IT", J718&gt;100000), "YES", "NO")</f>
        <v>YES</v>
      </c>
      <c r="R718" s="14">
        <f>YEAR(TBL_Employees[[#This Row],[Hire Date]])</f>
        <v>2012</v>
      </c>
    </row>
    <row r="719" spans="1:18" x14ac:dyDescent="0.35">
      <c r="A719" t="s">
        <v>1463</v>
      </c>
      <c r="B719" t="s">
        <v>1464</v>
      </c>
      <c r="C719" t="s">
        <v>16</v>
      </c>
      <c r="D719" t="s">
        <v>60</v>
      </c>
      <c r="E719" t="s">
        <v>50</v>
      </c>
      <c r="F719" t="s">
        <v>19</v>
      </c>
      <c r="G719" t="s">
        <v>37</v>
      </c>
      <c r="H719">
        <v>62</v>
      </c>
      <c r="I719" s="5">
        <v>39843</v>
      </c>
      <c r="J719" s="11">
        <v>150555</v>
      </c>
      <c r="K719" s="6">
        <v>0.13</v>
      </c>
      <c r="L719" t="s">
        <v>21</v>
      </c>
      <c r="M719" t="s">
        <v>45</v>
      </c>
      <c r="N719" s="5" t="s">
        <v>31</v>
      </c>
      <c r="O719">
        <f>TBL_Employees[[#This Row],[Bonus %]]*TBL_Employees[[#This Row],[Annual Salary]]</f>
        <v>19572.150000000001</v>
      </c>
      <c r="P719" t="str">
        <f>IF(TBL_Employees[[#This Row],[Age]]&gt;50,"Senior","Junior")</f>
        <v>Senior</v>
      </c>
      <c r="Q719" s="14" t="str">
        <f>IF(OR(D719="IT", J719&gt;100000), "YES", "NO")</f>
        <v>YES</v>
      </c>
      <c r="R719" s="14">
        <f>YEAR(TBL_Employees[[#This Row],[Hire Date]])</f>
        <v>2009</v>
      </c>
    </row>
    <row r="720" spans="1:18" x14ac:dyDescent="0.35">
      <c r="A720" t="s">
        <v>1465</v>
      </c>
      <c r="B720" t="s">
        <v>1466</v>
      </c>
      <c r="C720" t="s">
        <v>53</v>
      </c>
      <c r="D720" t="s">
        <v>35</v>
      </c>
      <c r="E720" t="s">
        <v>50</v>
      </c>
      <c r="F720" t="s">
        <v>27</v>
      </c>
      <c r="G720" t="s">
        <v>28</v>
      </c>
      <c r="H720">
        <v>52</v>
      </c>
      <c r="I720" s="5">
        <v>40091</v>
      </c>
      <c r="J720" s="11">
        <v>122890</v>
      </c>
      <c r="K720" s="6">
        <v>7.0000000000000007E-2</v>
      </c>
      <c r="L720" t="s">
        <v>29</v>
      </c>
      <c r="M720" t="s">
        <v>75</v>
      </c>
      <c r="N720" s="5" t="s">
        <v>31</v>
      </c>
      <c r="O720">
        <f>TBL_Employees[[#This Row],[Bonus %]]*TBL_Employees[[#This Row],[Annual Salary]]</f>
        <v>8602.3000000000011</v>
      </c>
      <c r="P720" t="str">
        <f>IF(TBL_Employees[[#This Row],[Age]]&gt;50,"Senior","Junior")</f>
        <v>Senior</v>
      </c>
      <c r="Q720" s="14" t="str">
        <f>IF(OR(D720="IT", J720&gt;100000), "YES", "NO")</f>
        <v>YES</v>
      </c>
      <c r="R720" s="14">
        <f>YEAR(TBL_Employees[[#This Row],[Hire Date]])</f>
        <v>2009</v>
      </c>
    </row>
    <row r="721" spans="1:18" x14ac:dyDescent="0.35">
      <c r="A721" t="s">
        <v>1467</v>
      </c>
      <c r="B721" t="s">
        <v>1468</v>
      </c>
      <c r="C721" t="s">
        <v>80</v>
      </c>
      <c r="D721" t="s">
        <v>35</v>
      </c>
      <c r="E721" t="s">
        <v>18</v>
      </c>
      <c r="F721" t="s">
        <v>27</v>
      </c>
      <c r="G721" t="s">
        <v>28</v>
      </c>
      <c r="H721">
        <v>52</v>
      </c>
      <c r="I721" s="5">
        <v>35576</v>
      </c>
      <c r="J721" s="11">
        <v>216999</v>
      </c>
      <c r="K721" s="6">
        <v>0.37</v>
      </c>
      <c r="L721" t="s">
        <v>21</v>
      </c>
      <c r="M721" t="s">
        <v>57</v>
      </c>
      <c r="N721" s="5" t="s">
        <v>31</v>
      </c>
      <c r="O721">
        <f>TBL_Employees[[#This Row],[Bonus %]]*TBL_Employees[[#This Row],[Annual Salary]]</f>
        <v>80289.63</v>
      </c>
      <c r="P721" t="str">
        <f>IF(TBL_Employees[[#This Row],[Age]]&gt;50,"Senior","Junior")</f>
        <v>Senior</v>
      </c>
      <c r="Q721" s="14" t="str">
        <f>IF(OR(D721="IT", J721&gt;100000), "YES", "NO")</f>
        <v>YES</v>
      </c>
      <c r="R721" s="14">
        <f>YEAR(TBL_Employees[[#This Row],[Hire Date]])</f>
        <v>1997</v>
      </c>
    </row>
    <row r="722" spans="1:18" x14ac:dyDescent="0.35">
      <c r="A722" t="s">
        <v>1469</v>
      </c>
      <c r="B722" t="s">
        <v>1470</v>
      </c>
      <c r="C722" t="s">
        <v>53</v>
      </c>
      <c r="D722" t="s">
        <v>66</v>
      </c>
      <c r="E722" t="s">
        <v>50</v>
      </c>
      <c r="F722" t="s">
        <v>27</v>
      </c>
      <c r="G722" t="s">
        <v>28</v>
      </c>
      <c r="H722">
        <v>48</v>
      </c>
      <c r="I722" s="5">
        <v>42201</v>
      </c>
      <c r="J722" s="11">
        <v>110565</v>
      </c>
      <c r="K722" s="6">
        <v>0.09</v>
      </c>
      <c r="L722" t="s">
        <v>29</v>
      </c>
      <c r="M722" t="s">
        <v>115</v>
      </c>
      <c r="N722" s="5" t="s">
        <v>31</v>
      </c>
      <c r="O722">
        <f>TBL_Employees[[#This Row],[Bonus %]]*TBL_Employees[[#This Row],[Annual Salary]]</f>
        <v>9950.85</v>
      </c>
      <c r="P722" t="str">
        <f>IF(TBL_Employees[[#This Row],[Age]]&gt;50,"Senior","Junior")</f>
        <v>Junior</v>
      </c>
      <c r="Q722" s="14" t="str">
        <f>IF(OR(D722="IT", J722&gt;100000), "YES", "NO")</f>
        <v>YES</v>
      </c>
      <c r="R722" s="14">
        <f>YEAR(TBL_Employees[[#This Row],[Hire Date]])</f>
        <v>2015</v>
      </c>
    </row>
    <row r="723" spans="1:18" x14ac:dyDescent="0.35">
      <c r="A723" t="s">
        <v>1471</v>
      </c>
      <c r="B723" t="s">
        <v>1472</v>
      </c>
      <c r="C723" t="s">
        <v>120</v>
      </c>
      <c r="D723" t="s">
        <v>17</v>
      </c>
      <c r="E723" t="s">
        <v>36</v>
      </c>
      <c r="F723" t="s">
        <v>27</v>
      </c>
      <c r="G723" t="s">
        <v>37</v>
      </c>
      <c r="H723">
        <v>38</v>
      </c>
      <c r="I723" s="5">
        <v>42113</v>
      </c>
      <c r="J723" s="11">
        <v>48762</v>
      </c>
      <c r="K723" s="6">
        <v>0</v>
      </c>
      <c r="L723" t="s">
        <v>21</v>
      </c>
      <c r="M723" t="s">
        <v>22</v>
      </c>
      <c r="N723" s="5" t="s">
        <v>31</v>
      </c>
      <c r="O723">
        <f>TBL_Employees[[#This Row],[Bonus %]]*TBL_Employees[[#This Row],[Annual Salary]]</f>
        <v>0</v>
      </c>
      <c r="P723" t="str">
        <f>IF(TBL_Employees[[#This Row],[Age]]&gt;50,"Senior","Junior")</f>
        <v>Junior</v>
      </c>
      <c r="Q723" s="14" t="str">
        <f>IF(OR(D723="IT", J723&gt;100000), "YES", "NO")</f>
        <v>YES</v>
      </c>
      <c r="R723" s="14">
        <f>YEAR(TBL_Employees[[#This Row],[Hire Date]])</f>
        <v>2015</v>
      </c>
    </row>
    <row r="724" spans="1:18" x14ac:dyDescent="0.35">
      <c r="A724" t="s">
        <v>1473</v>
      </c>
      <c r="B724" t="s">
        <v>1474</v>
      </c>
      <c r="C724" t="s">
        <v>278</v>
      </c>
      <c r="D724" t="s">
        <v>70</v>
      </c>
      <c r="E724" t="s">
        <v>36</v>
      </c>
      <c r="F724" t="s">
        <v>19</v>
      </c>
      <c r="G724" t="s">
        <v>28</v>
      </c>
      <c r="H724">
        <v>51</v>
      </c>
      <c r="I724" s="5">
        <v>42777</v>
      </c>
      <c r="J724" s="11">
        <v>87036</v>
      </c>
      <c r="K724" s="6">
        <v>0</v>
      </c>
      <c r="L724" t="s">
        <v>29</v>
      </c>
      <c r="M724" t="s">
        <v>30</v>
      </c>
      <c r="N724" s="5" t="s">
        <v>31</v>
      </c>
      <c r="O724">
        <f>TBL_Employees[[#This Row],[Bonus %]]*TBL_Employees[[#This Row],[Annual Salary]]</f>
        <v>0</v>
      </c>
      <c r="P724" t="str">
        <f>IF(TBL_Employees[[#This Row],[Age]]&gt;50,"Senior","Junior")</f>
        <v>Senior</v>
      </c>
      <c r="Q724" s="14" t="str">
        <f>IF(OR(D724="IT", J724&gt;100000), "YES", "NO")</f>
        <v>NO</v>
      </c>
      <c r="R724" s="14">
        <f>YEAR(TBL_Employees[[#This Row],[Hire Date]])</f>
        <v>2017</v>
      </c>
    </row>
    <row r="725" spans="1:18" x14ac:dyDescent="0.35">
      <c r="A725" t="s">
        <v>1475</v>
      </c>
      <c r="B725" t="s">
        <v>1476</v>
      </c>
      <c r="C725" t="s">
        <v>34</v>
      </c>
      <c r="D725" t="s">
        <v>81</v>
      </c>
      <c r="E725" t="s">
        <v>36</v>
      </c>
      <c r="F725" t="s">
        <v>27</v>
      </c>
      <c r="G725" t="s">
        <v>37</v>
      </c>
      <c r="H725">
        <v>32</v>
      </c>
      <c r="I725" s="5">
        <v>42702</v>
      </c>
      <c r="J725" s="11">
        <v>177443</v>
      </c>
      <c r="K725" s="6">
        <v>0.16</v>
      </c>
      <c r="L725" t="s">
        <v>21</v>
      </c>
      <c r="M725" t="s">
        <v>22</v>
      </c>
      <c r="N725" s="5" t="s">
        <v>31</v>
      </c>
      <c r="O725">
        <f>TBL_Employees[[#This Row],[Bonus %]]*TBL_Employees[[#This Row],[Annual Salary]]</f>
        <v>28390.880000000001</v>
      </c>
      <c r="P725" t="str">
        <f>IF(TBL_Employees[[#This Row],[Age]]&gt;50,"Senior","Junior")</f>
        <v>Junior</v>
      </c>
      <c r="Q725" s="14" t="str">
        <f>IF(OR(D725="IT", J725&gt;100000), "YES", "NO")</f>
        <v>YES</v>
      </c>
      <c r="R725" s="14">
        <f>YEAR(TBL_Employees[[#This Row],[Hire Date]])</f>
        <v>2016</v>
      </c>
    </row>
    <row r="726" spans="1:18" x14ac:dyDescent="0.35">
      <c r="A726" t="s">
        <v>1477</v>
      </c>
      <c r="B726" t="s">
        <v>1478</v>
      </c>
      <c r="C726" t="s">
        <v>132</v>
      </c>
      <c r="D726" t="s">
        <v>17</v>
      </c>
      <c r="E726" t="s">
        <v>18</v>
      </c>
      <c r="F726" t="s">
        <v>19</v>
      </c>
      <c r="G726" t="s">
        <v>28</v>
      </c>
      <c r="H726">
        <v>36</v>
      </c>
      <c r="I726" s="5">
        <v>42489</v>
      </c>
      <c r="J726" s="11">
        <v>75862</v>
      </c>
      <c r="K726" s="6">
        <v>0</v>
      </c>
      <c r="L726" t="s">
        <v>21</v>
      </c>
      <c r="M726" t="s">
        <v>61</v>
      </c>
      <c r="N726" s="5" t="s">
        <v>31</v>
      </c>
      <c r="O726">
        <f>TBL_Employees[[#This Row],[Bonus %]]*TBL_Employees[[#This Row],[Annual Salary]]</f>
        <v>0</v>
      </c>
      <c r="P726" t="str">
        <f>IF(TBL_Employees[[#This Row],[Age]]&gt;50,"Senior","Junior")</f>
        <v>Junior</v>
      </c>
      <c r="Q726" s="14" t="str">
        <f>IF(OR(D726="IT", J726&gt;100000), "YES", "NO")</f>
        <v>YES</v>
      </c>
      <c r="R726" s="14">
        <f>YEAR(TBL_Employees[[#This Row],[Hire Date]])</f>
        <v>2016</v>
      </c>
    </row>
    <row r="727" spans="1:18" x14ac:dyDescent="0.35">
      <c r="A727" t="s">
        <v>1479</v>
      </c>
      <c r="B727" t="s">
        <v>1480</v>
      </c>
      <c r="C727" t="s">
        <v>144</v>
      </c>
      <c r="D727" t="s">
        <v>66</v>
      </c>
      <c r="E727" t="s">
        <v>18</v>
      </c>
      <c r="F727" t="s">
        <v>19</v>
      </c>
      <c r="G727" t="s">
        <v>28</v>
      </c>
      <c r="H727">
        <v>45</v>
      </c>
      <c r="I727" s="5">
        <v>43581</v>
      </c>
      <c r="J727" s="11">
        <v>90870</v>
      </c>
      <c r="K727" s="6">
        <v>0</v>
      </c>
      <c r="L727" t="s">
        <v>21</v>
      </c>
      <c r="M727" t="s">
        <v>38</v>
      </c>
      <c r="N727" s="5" t="s">
        <v>31</v>
      </c>
      <c r="O727">
        <f>TBL_Employees[[#This Row],[Bonus %]]*TBL_Employees[[#This Row],[Annual Salary]]</f>
        <v>0</v>
      </c>
      <c r="P727" t="str">
        <f>IF(TBL_Employees[[#This Row],[Age]]&gt;50,"Senior","Junior")</f>
        <v>Junior</v>
      </c>
      <c r="Q727" s="14" t="str">
        <f>IF(OR(D727="IT", J727&gt;100000), "YES", "NO")</f>
        <v>NO</v>
      </c>
      <c r="R727" s="14">
        <f>YEAR(TBL_Employees[[#This Row],[Hire Date]])</f>
        <v>2019</v>
      </c>
    </row>
    <row r="728" spans="1:18" x14ac:dyDescent="0.35">
      <c r="A728" t="s">
        <v>1481</v>
      </c>
      <c r="B728" t="s">
        <v>1482</v>
      </c>
      <c r="C728" t="s">
        <v>114</v>
      </c>
      <c r="D728" t="s">
        <v>70</v>
      </c>
      <c r="E728" t="s">
        <v>50</v>
      </c>
      <c r="F728" t="s">
        <v>19</v>
      </c>
      <c r="G728" t="s">
        <v>28</v>
      </c>
      <c r="H728">
        <v>32</v>
      </c>
      <c r="I728" s="5">
        <v>41977</v>
      </c>
      <c r="J728" s="11">
        <v>99202</v>
      </c>
      <c r="K728" s="6">
        <v>0.11</v>
      </c>
      <c r="L728" t="s">
        <v>21</v>
      </c>
      <c r="M728" t="s">
        <v>45</v>
      </c>
      <c r="N728" s="5" t="s">
        <v>31</v>
      </c>
      <c r="O728">
        <f>TBL_Employees[[#This Row],[Bonus %]]*TBL_Employees[[#This Row],[Annual Salary]]</f>
        <v>10912.22</v>
      </c>
      <c r="P728" t="str">
        <f>IF(TBL_Employees[[#This Row],[Age]]&gt;50,"Senior","Junior")</f>
        <v>Junior</v>
      </c>
      <c r="Q728" s="14" t="str">
        <f>IF(OR(D728="IT", J728&gt;100000), "YES", "NO")</f>
        <v>NO</v>
      </c>
      <c r="R728" s="14">
        <f>YEAR(TBL_Employees[[#This Row],[Hire Date]])</f>
        <v>2014</v>
      </c>
    </row>
    <row r="729" spans="1:18" x14ac:dyDescent="0.35">
      <c r="A729" t="s">
        <v>1483</v>
      </c>
      <c r="B729" t="s">
        <v>1484</v>
      </c>
      <c r="C729" t="s">
        <v>44</v>
      </c>
      <c r="D729" t="s">
        <v>81</v>
      </c>
      <c r="E729" t="s">
        <v>50</v>
      </c>
      <c r="F729" t="s">
        <v>27</v>
      </c>
      <c r="G729" t="s">
        <v>28</v>
      </c>
      <c r="H729">
        <v>45</v>
      </c>
      <c r="I729" s="5">
        <v>39347</v>
      </c>
      <c r="J729" s="11">
        <v>92293</v>
      </c>
      <c r="K729" s="6">
        <v>0</v>
      </c>
      <c r="L729" t="s">
        <v>29</v>
      </c>
      <c r="M729" t="s">
        <v>135</v>
      </c>
      <c r="N729" s="5" t="s">
        <v>31</v>
      </c>
      <c r="O729">
        <f>TBL_Employees[[#This Row],[Bonus %]]*TBL_Employees[[#This Row],[Annual Salary]]</f>
        <v>0</v>
      </c>
      <c r="P729" t="str">
        <f>IF(TBL_Employees[[#This Row],[Age]]&gt;50,"Senior","Junior")</f>
        <v>Junior</v>
      </c>
      <c r="Q729" s="14" t="str">
        <f>IF(OR(D729="IT", J729&gt;100000), "YES", "NO")</f>
        <v>NO</v>
      </c>
      <c r="R729" s="14">
        <f>YEAR(TBL_Employees[[#This Row],[Hire Date]])</f>
        <v>2007</v>
      </c>
    </row>
    <row r="730" spans="1:18" x14ac:dyDescent="0.35">
      <c r="A730" t="s">
        <v>1485</v>
      </c>
      <c r="B730" t="s">
        <v>1486</v>
      </c>
      <c r="C730" t="s">
        <v>373</v>
      </c>
      <c r="D730" t="s">
        <v>17</v>
      </c>
      <c r="E730" t="s">
        <v>50</v>
      </c>
      <c r="F730" t="s">
        <v>27</v>
      </c>
      <c r="G730" t="s">
        <v>37</v>
      </c>
      <c r="H730">
        <v>54</v>
      </c>
      <c r="I730" s="5">
        <v>33785</v>
      </c>
      <c r="J730" s="11">
        <v>63196</v>
      </c>
      <c r="K730" s="6">
        <v>0</v>
      </c>
      <c r="L730" t="s">
        <v>21</v>
      </c>
      <c r="M730" t="s">
        <v>38</v>
      </c>
      <c r="N730" s="5">
        <v>41938</v>
      </c>
      <c r="O730">
        <f>TBL_Employees[[#This Row],[Bonus %]]*TBL_Employees[[#This Row],[Annual Salary]]</f>
        <v>0</v>
      </c>
      <c r="P730" t="str">
        <f>IF(TBL_Employees[[#This Row],[Age]]&gt;50,"Senior","Junior")</f>
        <v>Senior</v>
      </c>
      <c r="Q730" s="14" t="str">
        <f>IF(OR(D730="IT", J730&gt;100000), "YES", "NO")</f>
        <v>YES</v>
      </c>
      <c r="R730" s="14">
        <f>YEAR(TBL_Employees[[#This Row],[Hire Date]])</f>
        <v>1992</v>
      </c>
    </row>
    <row r="731" spans="1:18" x14ac:dyDescent="0.35">
      <c r="A731" t="s">
        <v>1487</v>
      </c>
      <c r="B731" t="s">
        <v>1488</v>
      </c>
      <c r="C731" t="s">
        <v>278</v>
      </c>
      <c r="D731" t="s">
        <v>70</v>
      </c>
      <c r="E731" t="s">
        <v>36</v>
      </c>
      <c r="F731" t="s">
        <v>19</v>
      </c>
      <c r="G731" t="s">
        <v>28</v>
      </c>
      <c r="H731">
        <v>48</v>
      </c>
      <c r="I731" s="5">
        <v>41032</v>
      </c>
      <c r="J731" s="11">
        <v>65340</v>
      </c>
      <c r="K731" s="6">
        <v>0</v>
      </c>
      <c r="L731" t="s">
        <v>29</v>
      </c>
      <c r="M731" t="s">
        <v>75</v>
      </c>
      <c r="N731" s="5">
        <v>43229</v>
      </c>
      <c r="O731">
        <f>TBL_Employees[[#This Row],[Bonus %]]*TBL_Employees[[#This Row],[Annual Salary]]</f>
        <v>0</v>
      </c>
      <c r="P731" t="str">
        <f>IF(TBL_Employees[[#This Row],[Age]]&gt;50,"Senior","Junior")</f>
        <v>Junior</v>
      </c>
      <c r="Q731" s="14" t="str">
        <f>IF(OR(D731="IT", J731&gt;100000), "YES", "NO")</f>
        <v>NO</v>
      </c>
      <c r="R731" s="14">
        <f>YEAR(TBL_Employees[[#This Row],[Hire Date]])</f>
        <v>2012</v>
      </c>
    </row>
    <row r="732" spans="1:18" x14ac:dyDescent="0.35">
      <c r="A732" t="s">
        <v>1489</v>
      </c>
      <c r="B732" t="s">
        <v>1490</v>
      </c>
      <c r="C732" t="s">
        <v>80</v>
      </c>
      <c r="D732" t="s">
        <v>81</v>
      </c>
      <c r="E732" t="s">
        <v>50</v>
      </c>
      <c r="F732" t="s">
        <v>27</v>
      </c>
      <c r="G732" t="s">
        <v>28</v>
      </c>
      <c r="H732">
        <v>45</v>
      </c>
      <c r="I732" s="5">
        <v>42271</v>
      </c>
      <c r="J732" s="11">
        <v>202680</v>
      </c>
      <c r="K732" s="6">
        <v>0.32</v>
      </c>
      <c r="L732" t="s">
        <v>21</v>
      </c>
      <c r="M732" t="s">
        <v>45</v>
      </c>
      <c r="N732" s="5">
        <v>44790</v>
      </c>
      <c r="O732">
        <f>TBL_Employees[[#This Row],[Bonus %]]*TBL_Employees[[#This Row],[Annual Salary]]</f>
        <v>64857.599999999999</v>
      </c>
      <c r="P732" t="str">
        <f>IF(TBL_Employees[[#This Row],[Age]]&gt;50,"Senior","Junior")</f>
        <v>Junior</v>
      </c>
      <c r="Q732" s="14" t="str">
        <f>IF(OR(D732="IT", J732&gt;100000), "YES", "NO")</f>
        <v>YES</v>
      </c>
      <c r="R732" s="14">
        <f>YEAR(TBL_Employees[[#This Row],[Hire Date]])</f>
        <v>2015</v>
      </c>
    </row>
    <row r="733" spans="1:18" x14ac:dyDescent="0.35">
      <c r="A733" t="s">
        <v>1491</v>
      </c>
      <c r="B733" t="s">
        <v>1492</v>
      </c>
      <c r="C733" t="s">
        <v>41</v>
      </c>
      <c r="D733" t="s">
        <v>17</v>
      </c>
      <c r="E733" t="s">
        <v>26</v>
      </c>
      <c r="F733" t="s">
        <v>19</v>
      </c>
      <c r="G733" t="s">
        <v>86</v>
      </c>
      <c r="H733">
        <v>46</v>
      </c>
      <c r="I733" s="5">
        <v>42849</v>
      </c>
      <c r="J733" s="11">
        <v>77461</v>
      </c>
      <c r="K733" s="6">
        <v>0.09</v>
      </c>
      <c r="L733" t="s">
        <v>94</v>
      </c>
      <c r="M733" t="s">
        <v>219</v>
      </c>
      <c r="N733" s="5" t="s">
        <v>31</v>
      </c>
      <c r="O733">
        <f>TBL_Employees[[#This Row],[Bonus %]]*TBL_Employees[[#This Row],[Annual Salary]]</f>
        <v>6971.49</v>
      </c>
      <c r="P733" t="str">
        <f>IF(TBL_Employees[[#This Row],[Age]]&gt;50,"Senior","Junior")</f>
        <v>Junior</v>
      </c>
      <c r="Q733" s="14" t="str">
        <f>IF(OR(D733="IT", J733&gt;100000), "YES", "NO")</f>
        <v>YES</v>
      </c>
      <c r="R733" s="14">
        <f>YEAR(TBL_Employees[[#This Row],[Hire Date]])</f>
        <v>2017</v>
      </c>
    </row>
    <row r="734" spans="1:18" x14ac:dyDescent="0.35">
      <c r="A734" t="s">
        <v>1493</v>
      </c>
      <c r="B734" t="s">
        <v>1494</v>
      </c>
      <c r="C734" t="s">
        <v>182</v>
      </c>
      <c r="D734" t="s">
        <v>70</v>
      </c>
      <c r="E734" t="s">
        <v>18</v>
      </c>
      <c r="F734" t="s">
        <v>19</v>
      </c>
      <c r="G734" t="s">
        <v>28</v>
      </c>
      <c r="H734">
        <v>40</v>
      </c>
      <c r="I734" s="5">
        <v>42622</v>
      </c>
      <c r="J734" s="11">
        <v>109680</v>
      </c>
      <c r="K734" s="6">
        <v>0</v>
      </c>
      <c r="L734" t="s">
        <v>29</v>
      </c>
      <c r="M734" t="s">
        <v>135</v>
      </c>
      <c r="N734" s="5" t="s">
        <v>31</v>
      </c>
      <c r="O734">
        <f>TBL_Employees[[#This Row],[Bonus %]]*TBL_Employees[[#This Row],[Annual Salary]]</f>
        <v>0</v>
      </c>
      <c r="P734" t="str">
        <f>IF(TBL_Employees[[#This Row],[Age]]&gt;50,"Senior","Junior")</f>
        <v>Junior</v>
      </c>
      <c r="Q734" s="14" t="str">
        <f>IF(OR(D734="IT", J734&gt;100000), "YES", "NO")</f>
        <v>YES</v>
      </c>
      <c r="R734" s="14">
        <f>YEAR(TBL_Employees[[#This Row],[Hire Date]])</f>
        <v>2016</v>
      </c>
    </row>
    <row r="735" spans="1:18" x14ac:dyDescent="0.35">
      <c r="A735" t="s">
        <v>356</v>
      </c>
      <c r="B735" t="s">
        <v>1495</v>
      </c>
      <c r="C735" t="s">
        <v>34</v>
      </c>
      <c r="D735" t="s">
        <v>49</v>
      </c>
      <c r="E735" t="s">
        <v>26</v>
      </c>
      <c r="F735" t="s">
        <v>19</v>
      </c>
      <c r="G735" t="s">
        <v>20</v>
      </c>
      <c r="H735">
        <v>61</v>
      </c>
      <c r="I735" s="5">
        <v>35661</v>
      </c>
      <c r="J735" s="11">
        <v>159567</v>
      </c>
      <c r="K735" s="6">
        <v>0.28000000000000003</v>
      </c>
      <c r="L735" t="s">
        <v>21</v>
      </c>
      <c r="M735" t="s">
        <v>45</v>
      </c>
      <c r="N735" s="5" t="s">
        <v>31</v>
      </c>
      <c r="O735">
        <f>TBL_Employees[[#This Row],[Bonus %]]*TBL_Employees[[#This Row],[Annual Salary]]</f>
        <v>44678.76</v>
      </c>
      <c r="P735" t="str">
        <f>IF(TBL_Employees[[#This Row],[Age]]&gt;50,"Senior","Junior")</f>
        <v>Senior</v>
      </c>
      <c r="Q735" s="14" t="str">
        <f>IF(OR(D735="IT", J735&gt;100000), "YES", "NO")</f>
        <v>YES</v>
      </c>
      <c r="R735" s="14">
        <f>YEAR(TBL_Employees[[#This Row],[Hire Date]])</f>
        <v>1997</v>
      </c>
    </row>
    <row r="736" spans="1:18" x14ac:dyDescent="0.35">
      <c r="A736" t="s">
        <v>1496</v>
      </c>
      <c r="B736" t="s">
        <v>1497</v>
      </c>
      <c r="C736" t="s">
        <v>278</v>
      </c>
      <c r="D736" t="s">
        <v>70</v>
      </c>
      <c r="E736" t="s">
        <v>36</v>
      </c>
      <c r="F736" t="s">
        <v>27</v>
      </c>
      <c r="G736" t="s">
        <v>86</v>
      </c>
      <c r="H736">
        <v>54</v>
      </c>
      <c r="I736" s="5">
        <v>41237</v>
      </c>
      <c r="J736" s="11">
        <v>94407</v>
      </c>
      <c r="K736" s="6">
        <v>0</v>
      </c>
      <c r="L736" t="s">
        <v>94</v>
      </c>
      <c r="M736" t="s">
        <v>219</v>
      </c>
      <c r="N736" s="5" t="s">
        <v>31</v>
      </c>
      <c r="O736">
        <f>TBL_Employees[[#This Row],[Bonus %]]*TBL_Employees[[#This Row],[Annual Salary]]</f>
        <v>0</v>
      </c>
      <c r="P736" t="str">
        <f>IF(TBL_Employees[[#This Row],[Age]]&gt;50,"Senior","Junior")</f>
        <v>Senior</v>
      </c>
      <c r="Q736" s="14" t="str">
        <f>IF(OR(D736="IT", J736&gt;100000), "YES", "NO")</f>
        <v>NO</v>
      </c>
      <c r="R736" s="14">
        <f>YEAR(TBL_Employees[[#This Row],[Hire Date]])</f>
        <v>2012</v>
      </c>
    </row>
    <row r="737" spans="1:18" x14ac:dyDescent="0.35">
      <c r="A737" t="s">
        <v>1498</v>
      </c>
      <c r="B737" t="s">
        <v>1499</v>
      </c>
      <c r="C737" t="s">
        <v>80</v>
      </c>
      <c r="D737" t="s">
        <v>66</v>
      </c>
      <c r="E737" t="s">
        <v>50</v>
      </c>
      <c r="F737" t="s">
        <v>27</v>
      </c>
      <c r="G737" t="s">
        <v>86</v>
      </c>
      <c r="H737">
        <v>62</v>
      </c>
      <c r="I737" s="5">
        <v>37484</v>
      </c>
      <c r="J737" s="11">
        <v>234594</v>
      </c>
      <c r="K737" s="6">
        <v>0.33</v>
      </c>
      <c r="L737" t="s">
        <v>21</v>
      </c>
      <c r="M737" t="s">
        <v>22</v>
      </c>
      <c r="N737" s="5" t="s">
        <v>31</v>
      </c>
      <c r="O737">
        <f>TBL_Employees[[#This Row],[Bonus %]]*TBL_Employees[[#This Row],[Annual Salary]]</f>
        <v>77416.02</v>
      </c>
      <c r="P737" t="str">
        <f>IF(TBL_Employees[[#This Row],[Age]]&gt;50,"Senior","Junior")</f>
        <v>Senior</v>
      </c>
      <c r="Q737" s="14" t="str">
        <f>IF(OR(D737="IT", J737&gt;100000), "YES", "NO")</f>
        <v>YES</v>
      </c>
      <c r="R737" s="14">
        <f>YEAR(TBL_Employees[[#This Row],[Hire Date]])</f>
        <v>2002</v>
      </c>
    </row>
    <row r="738" spans="1:18" x14ac:dyDescent="0.35">
      <c r="A738" t="s">
        <v>1500</v>
      </c>
      <c r="B738" t="s">
        <v>1501</v>
      </c>
      <c r="C738" t="s">
        <v>331</v>
      </c>
      <c r="D738" t="s">
        <v>17</v>
      </c>
      <c r="E738" t="s">
        <v>36</v>
      </c>
      <c r="F738" t="s">
        <v>27</v>
      </c>
      <c r="G738" t="s">
        <v>37</v>
      </c>
      <c r="H738">
        <v>48</v>
      </c>
      <c r="I738" s="5">
        <v>37298</v>
      </c>
      <c r="J738" s="11">
        <v>43080</v>
      </c>
      <c r="K738" s="6">
        <v>0</v>
      </c>
      <c r="L738" t="s">
        <v>21</v>
      </c>
      <c r="M738" t="s">
        <v>61</v>
      </c>
      <c r="N738" s="5" t="s">
        <v>31</v>
      </c>
      <c r="O738">
        <f>TBL_Employees[[#This Row],[Bonus %]]*TBL_Employees[[#This Row],[Annual Salary]]</f>
        <v>0</v>
      </c>
      <c r="P738" t="str">
        <f>IF(TBL_Employees[[#This Row],[Age]]&gt;50,"Senior","Junior")</f>
        <v>Junior</v>
      </c>
      <c r="Q738" s="14" t="str">
        <f>IF(OR(D738="IT", J738&gt;100000), "YES", "NO")</f>
        <v>YES</v>
      </c>
      <c r="R738" s="14">
        <f>YEAR(TBL_Employees[[#This Row],[Hire Date]])</f>
        <v>2002</v>
      </c>
    </row>
    <row r="739" spans="1:18" x14ac:dyDescent="0.35">
      <c r="A739" t="s">
        <v>1502</v>
      </c>
      <c r="B739" t="s">
        <v>1503</v>
      </c>
      <c r="C739" t="s">
        <v>53</v>
      </c>
      <c r="D739" t="s">
        <v>81</v>
      </c>
      <c r="E739" t="s">
        <v>26</v>
      </c>
      <c r="F739" t="s">
        <v>19</v>
      </c>
      <c r="G739" t="s">
        <v>86</v>
      </c>
      <c r="H739">
        <v>29</v>
      </c>
      <c r="I739" s="5">
        <v>44325</v>
      </c>
      <c r="J739" s="11">
        <v>129541</v>
      </c>
      <c r="K739" s="6">
        <v>0.08</v>
      </c>
      <c r="L739" t="s">
        <v>21</v>
      </c>
      <c r="M739" t="s">
        <v>45</v>
      </c>
      <c r="N739" s="5">
        <v>44340</v>
      </c>
      <c r="O739">
        <f>TBL_Employees[[#This Row],[Bonus %]]*TBL_Employees[[#This Row],[Annual Salary]]</f>
        <v>10363.280000000001</v>
      </c>
      <c r="P739" t="str">
        <f>IF(TBL_Employees[[#This Row],[Age]]&gt;50,"Senior","Junior")</f>
        <v>Junior</v>
      </c>
      <c r="Q739" s="14" t="str">
        <f>IF(OR(D739="IT", J739&gt;100000), "YES", "NO")</f>
        <v>YES</v>
      </c>
      <c r="R739" s="14">
        <f>YEAR(TBL_Employees[[#This Row],[Hire Date]])</f>
        <v>2021</v>
      </c>
    </row>
    <row r="740" spans="1:18" x14ac:dyDescent="0.35">
      <c r="A740" t="s">
        <v>1504</v>
      </c>
      <c r="B740" t="s">
        <v>1505</v>
      </c>
      <c r="C740" t="s">
        <v>34</v>
      </c>
      <c r="D740" t="s">
        <v>49</v>
      </c>
      <c r="E740" t="s">
        <v>18</v>
      </c>
      <c r="F740" t="s">
        <v>27</v>
      </c>
      <c r="G740" t="s">
        <v>86</v>
      </c>
      <c r="H740">
        <v>39</v>
      </c>
      <c r="I740" s="5">
        <v>41635</v>
      </c>
      <c r="J740" s="11">
        <v>165756</v>
      </c>
      <c r="K740" s="6">
        <v>0.28000000000000003</v>
      </c>
      <c r="L740" t="s">
        <v>21</v>
      </c>
      <c r="M740" t="s">
        <v>89</v>
      </c>
      <c r="N740" s="5">
        <v>43991</v>
      </c>
      <c r="O740">
        <f>TBL_Employees[[#This Row],[Bonus %]]*TBL_Employees[[#This Row],[Annual Salary]]</f>
        <v>46411.680000000008</v>
      </c>
      <c r="P740" t="str">
        <f>IF(TBL_Employees[[#This Row],[Age]]&gt;50,"Senior","Junior")</f>
        <v>Junior</v>
      </c>
      <c r="Q740" s="14" t="str">
        <f>IF(OR(D740="IT", J740&gt;100000), "YES", "NO")</f>
        <v>YES</v>
      </c>
      <c r="R740" s="14">
        <f>YEAR(TBL_Employees[[#This Row],[Hire Date]])</f>
        <v>2013</v>
      </c>
    </row>
    <row r="741" spans="1:18" x14ac:dyDescent="0.35">
      <c r="A741" t="s">
        <v>1506</v>
      </c>
      <c r="B741" t="s">
        <v>1507</v>
      </c>
      <c r="C741" t="s">
        <v>16</v>
      </c>
      <c r="D741" t="s">
        <v>35</v>
      </c>
      <c r="E741" t="s">
        <v>36</v>
      </c>
      <c r="F741" t="s">
        <v>27</v>
      </c>
      <c r="G741" t="s">
        <v>28</v>
      </c>
      <c r="H741">
        <v>44</v>
      </c>
      <c r="I741" s="5">
        <v>40274</v>
      </c>
      <c r="J741" s="11">
        <v>142878</v>
      </c>
      <c r="K741" s="6">
        <v>0.12</v>
      </c>
      <c r="L741" t="s">
        <v>21</v>
      </c>
      <c r="M741" t="s">
        <v>89</v>
      </c>
      <c r="N741" s="5" t="s">
        <v>31</v>
      </c>
      <c r="O741">
        <f>TBL_Employees[[#This Row],[Bonus %]]*TBL_Employees[[#This Row],[Annual Salary]]</f>
        <v>17145.36</v>
      </c>
      <c r="P741" t="str">
        <f>IF(TBL_Employees[[#This Row],[Age]]&gt;50,"Senior","Junior")</f>
        <v>Junior</v>
      </c>
      <c r="Q741" s="14" t="str">
        <f>IF(OR(D741="IT", J741&gt;100000), "YES", "NO")</f>
        <v>YES</v>
      </c>
      <c r="R741" s="14">
        <f>YEAR(TBL_Employees[[#This Row],[Hire Date]])</f>
        <v>2010</v>
      </c>
    </row>
    <row r="742" spans="1:18" x14ac:dyDescent="0.35">
      <c r="A742" t="s">
        <v>1508</v>
      </c>
      <c r="B742" t="s">
        <v>1509</v>
      </c>
      <c r="C742" t="s">
        <v>34</v>
      </c>
      <c r="D742" t="s">
        <v>70</v>
      </c>
      <c r="E742" t="s">
        <v>26</v>
      </c>
      <c r="F742" t="s">
        <v>27</v>
      </c>
      <c r="G742" t="s">
        <v>37</v>
      </c>
      <c r="H742">
        <v>52</v>
      </c>
      <c r="I742" s="5">
        <v>39018</v>
      </c>
      <c r="J742" s="11">
        <v>187992</v>
      </c>
      <c r="K742" s="6">
        <v>0.28000000000000003</v>
      </c>
      <c r="L742" t="s">
        <v>21</v>
      </c>
      <c r="M742" t="s">
        <v>57</v>
      </c>
      <c r="N742" s="5" t="s">
        <v>31</v>
      </c>
      <c r="O742">
        <f>TBL_Employees[[#This Row],[Bonus %]]*TBL_Employees[[#This Row],[Annual Salary]]</f>
        <v>52637.760000000002</v>
      </c>
      <c r="P742" t="str">
        <f>IF(TBL_Employees[[#This Row],[Age]]&gt;50,"Senior","Junior")</f>
        <v>Senior</v>
      </c>
      <c r="Q742" s="14" t="str">
        <f>IF(OR(D742="IT", J742&gt;100000), "YES", "NO")</f>
        <v>YES</v>
      </c>
      <c r="R742" s="14">
        <f>YEAR(TBL_Employees[[#This Row],[Hire Date]])</f>
        <v>2006</v>
      </c>
    </row>
    <row r="743" spans="1:18" x14ac:dyDescent="0.35">
      <c r="A743" t="s">
        <v>1510</v>
      </c>
      <c r="B743" t="s">
        <v>1511</v>
      </c>
      <c r="C743" t="s">
        <v>80</v>
      </c>
      <c r="D743" t="s">
        <v>66</v>
      </c>
      <c r="E743" t="s">
        <v>36</v>
      </c>
      <c r="F743" t="s">
        <v>19</v>
      </c>
      <c r="G743" t="s">
        <v>86</v>
      </c>
      <c r="H743">
        <v>45</v>
      </c>
      <c r="I743" s="5">
        <v>43521</v>
      </c>
      <c r="J743" s="11">
        <v>249801</v>
      </c>
      <c r="K743" s="6">
        <v>0.39</v>
      </c>
      <c r="L743" t="s">
        <v>94</v>
      </c>
      <c r="M743" t="s">
        <v>219</v>
      </c>
      <c r="N743" s="5" t="s">
        <v>31</v>
      </c>
      <c r="O743">
        <f>TBL_Employees[[#This Row],[Bonus %]]*TBL_Employees[[#This Row],[Annual Salary]]</f>
        <v>97422.39</v>
      </c>
      <c r="P743" t="str">
        <f>IF(TBL_Employees[[#This Row],[Age]]&gt;50,"Senior","Junior")</f>
        <v>Junior</v>
      </c>
      <c r="Q743" s="14" t="str">
        <f>IF(OR(D743="IT", J743&gt;100000), "YES", "NO")</f>
        <v>YES</v>
      </c>
      <c r="R743" s="14">
        <f>YEAR(TBL_Employees[[#This Row],[Hire Date]])</f>
        <v>2019</v>
      </c>
    </row>
    <row r="744" spans="1:18" x14ac:dyDescent="0.35">
      <c r="A744" t="s">
        <v>1512</v>
      </c>
      <c r="B744" t="s">
        <v>1513</v>
      </c>
      <c r="C744" t="s">
        <v>486</v>
      </c>
      <c r="D744" t="s">
        <v>17</v>
      </c>
      <c r="E744" t="s">
        <v>18</v>
      </c>
      <c r="F744" t="s">
        <v>27</v>
      </c>
      <c r="G744" t="s">
        <v>37</v>
      </c>
      <c r="H744">
        <v>48</v>
      </c>
      <c r="I744" s="5">
        <v>38987</v>
      </c>
      <c r="J744" s="11">
        <v>76505</v>
      </c>
      <c r="K744" s="6">
        <v>0</v>
      </c>
      <c r="L744" t="s">
        <v>21</v>
      </c>
      <c r="M744" t="s">
        <v>22</v>
      </c>
      <c r="N744" s="5">
        <v>39180</v>
      </c>
      <c r="O744">
        <f>TBL_Employees[[#This Row],[Bonus %]]*TBL_Employees[[#This Row],[Annual Salary]]</f>
        <v>0</v>
      </c>
      <c r="P744" t="str">
        <f>IF(TBL_Employees[[#This Row],[Age]]&gt;50,"Senior","Junior")</f>
        <v>Junior</v>
      </c>
      <c r="Q744" s="14" t="str">
        <f>IF(OR(D744="IT", J744&gt;100000), "YES", "NO")</f>
        <v>YES</v>
      </c>
      <c r="R744" s="14">
        <f>YEAR(TBL_Employees[[#This Row],[Hire Date]])</f>
        <v>2006</v>
      </c>
    </row>
    <row r="745" spans="1:18" x14ac:dyDescent="0.35">
      <c r="A745" t="s">
        <v>1514</v>
      </c>
      <c r="B745" t="s">
        <v>1515</v>
      </c>
      <c r="C745" t="s">
        <v>463</v>
      </c>
      <c r="D745" t="s">
        <v>17</v>
      </c>
      <c r="E745" t="s">
        <v>50</v>
      </c>
      <c r="F745" t="s">
        <v>27</v>
      </c>
      <c r="G745" t="s">
        <v>86</v>
      </c>
      <c r="H745">
        <v>39</v>
      </c>
      <c r="I745" s="5">
        <v>42664</v>
      </c>
      <c r="J745" s="11">
        <v>84297</v>
      </c>
      <c r="K745" s="6">
        <v>0</v>
      </c>
      <c r="L745" t="s">
        <v>94</v>
      </c>
      <c r="M745" t="s">
        <v>95</v>
      </c>
      <c r="N745" s="5" t="s">
        <v>31</v>
      </c>
      <c r="O745">
        <f>TBL_Employees[[#This Row],[Bonus %]]*TBL_Employees[[#This Row],[Annual Salary]]</f>
        <v>0</v>
      </c>
      <c r="P745" t="str">
        <f>IF(TBL_Employees[[#This Row],[Age]]&gt;50,"Senior","Junior")</f>
        <v>Junior</v>
      </c>
      <c r="Q745" s="14" t="str">
        <f>IF(OR(D745="IT", J745&gt;100000), "YES", "NO")</f>
        <v>YES</v>
      </c>
      <c r="R745" s="14">
        <f>YEAR(TBL_Employees[[#This Row],[Hire Date]])</f>
        <v>2016</v>
      </c>
    </row>
    <row r="746" spans="1:18" x14ac:dyDescent="0.35">
      <c r="A746" t="s">
        <v>1516</v>
      </c>
      <c r="B746" t="s">
        <v>1517</v>
      </c>
      <c r="C746" t="s">
        <v>44</v>
      </c>
      <c r="D746" t="s">
        <v>49</v>
      </c>
      <c r="E746" t="s">
        <v>36</v>
      </c>
      <c r="F746" t="s">
        <v>19</v>
      </c>
      <c r="G746" t="s">
        <v>86</v>
      </c>
      <c r="H746">
        <v>53</v>
      </c>
      <c r="I746" s="5">
        <v>42744</v>
      </c>
      <c r="J746" s="11">
        <v>75769</v>
      </c>
      <c r="K746" s="6">
        <v>0</v>
      </c>
      <c r="L746" t="s">
        <v>94</v>
      </c>
      <c r="M746" t="s">
        <v>95</v>
      </c>
      <c r="N746" s="5">
        <v>44029</v>
      </c>
      <c r="O746">
        <f>TBL_Employees[[#This Row],[Bonus %]]*TBL_Employees[[#This Row],[Annual Salary]]</f>
        <v>0</v>
      </c>
      <c r="P746" t="str">
        <f>IF(TBL_Employees[[#This Row],[Age]]&gt;50,"Senior","Junior")</f>
        <v>Senior</v>
      </c>
      <c r="Q746" s="14" t="str">
        <f>IF(OR(D746="IT", J746&gt;100000), "YES", "NO")</f>
        <v>NO</v>
      </c>
      <c r="R746" s="14">
        <f>YEAR(TBL_Employees[[#This Row],[Hire Date]])</f>
        <v>2017</v>
      </c>
    </row>
    <row r="747" spans="1:18" x14ac:dyDescent="0.35">
      <c r="A747" t="s">
        <v>204</v>
      </c>
      <c r="B747" t="s">
        <v>1518</v>
      </c>
      <c r="C747" t="s">
        <v>80</v>
      </c>
      <c r="D747" t="s">
        <v>60</v>
      </c>
      <c r="E747" t="s">
        <v>36</v>
      </c>
      <c r="F747" t="s">
        <v>27</v>
      </c>
      <c r="G747" t="s">
        <v>37</v>
      </c>
      <c r="H747">
        <v>41</v>
      </c>
      <c r="I747" s="5">
        <v>41503</v>
      </c>
      <c r="J747" s="11">
        <v>235619</v>
      </c>
      <c r="K747" s="6">
        <v>0.3</v>
      </c>
      <c r="L747" t="s">
        <v>21</v>
      </c>
      <c r="M747" t="s">
        <v>22</v>
      </c>
      <c r="N747" s="5" t="s">
        <v>31</v>
      </c>
      <c r="O747">
        <f>TBL_Employees[[#This Row],[Bonus %]]*TBL_Employees[[#This Row],[Annual Salary]]</f>
        <v>70685.7</v>
      </c>
      <c r="P747" t="str">
        <f>IF(TBL_Employees[[#This Row],[Age]]&gt;50,"Senior","Junior")</f>
        <v>Junior</v>
      </c>
      <c r="Q747" s="14" t="str">
        <f>IF(OR(D747="IT", J747&gt;100000), "YES", "NO")</f>
        <v>YES</v>
      </c>
      <c r="R747" s="14">
        <f>YEAR(TBL_Employees[[#This Row],[Hire Date]])</f>
        <v>2013</v>
      </c>
    </row>
    <row r="748" spans="1:18" x14ac:dyDescent="0.35">
      <c r="A748" t="s">
        <v>1519</v>
      </c>
      <c r="B748" t="s">
        <v>1520</v>
      </c>
      <c r="C748" t="s">
        <v>34</v>
      </c>
      <c r="D748" t="s">
        <v>70</v>
      </c>
      <c r="E748" t="s">
        <v>36</v>
      </c>
      <c r="F748" t="s">
        <v>27</v>
      </c>
      <c r="G748" t="s">
        <v>86</v>
      </c>
      <c r="H748">
        <v>40</v>
      </c>
      <c r="I748" s="5">
        <v>43868</v>
      </c>
      <c r="J748" s="11">
        <v>187187</v>
      </c>
      <c r="K748" s="6">
        <v>0.18</v>
      </c>
      <c r="L748" t="s">
        <v>94</v>
      </c>
      <c r="M748" t="s">
        <v>95</v>
      </c>
      <c r="N748" s="5" t="s">
        <v>31</v>
      </c>
      <c r="O748">
        <f>TBL_Employees[[#This Row],[Bonus %]]*TBL_Employees[[#This Row],[Annual Salary]]</f>
        <v>33693.659999999996</v>
      </c>
      <c r="P748" t="str">
        <f>IF(TBL_Employees[[#This Row],[Age]]&gt;50,"Senior","Junior")</f>
        <v>Junior</v>
      </c>
      <c r="Q748" s="14" t="str">
        <f>IF(OR(D748="IT", J748&gt;100000), "YES", "NO")</f>
        <v>YES</v>
      </c>
      <c r="R748" s="14">
        <f>YEAR(TBL_Employees[[#This Row],[Hire Date]])</f>
        <v>2020</v>
      </c>
    </row>
    <row r="749" spans="1:18" x14ac:dyDescent="0.35">
      <c r="A749" t="s">
        <v>96</v>
      </c>
      <c r="B749" t="s">
        <v>1521</v>
      </c>
      <c r="C749" t="s">
        <v>252</v>
      </c>
      <c r="D749" t="s">
        <v>17</v>
      </c>
      <c r="E749" t="s">
        <v>18</v>
      </c>
      <c r="F749" t="s">
        <v>27</v>
      </c>
      <c r="G749" t="s">
        <v>86</v>
      </c>
      <c r="H749">
        <v>48</v>
      </c>
      <c r="I749" s="5">
        <v>38560</v>
      </c>
      <c r="J749" s="11">
        <v>68987</v>
      </c>
      <c r="K749" s="6">
        <v>0</v>
      </c>
      <c r="L749" t="s">
        <v>21</v>
      </c>
      <c r="M749" t="s">
        <v>38</v>
      </c>
      <c r="N749" s="5">
        <v>38829</v>
      </c>
      <c r="O749">
        <f>TBL_Employees[[#This Row],[Bonus %]]*TBL_Employees[[#This Row],[Annual Salary]]</f>
        <v>0</v>
      </c>
      <c r="P749" t="str">
        <f>IF(TBL_Employees[[#This Row],[Age]]&gt;50,"Senior","Junior")</f>
        <v>Junior</v>
      </c>
      <c r="Q749" s="14" t="str">
        <f>IF(OR(D749="IT", J749&gt;100000), "YES", "NO")</f>
        <v>YES</v>
      </c>
      <c r="R749" s="14">
        <f>YEAR(TBL_Employees[[#This Row],[Hire Date]])</f>
        <v>2005</v>
      </c>
    </row>
    <row r="750" spans="1:18" x14ac:dyDescent="0.35">
      <c r="A750" t="s">
        <v>1522</v>
      </c>
      <c r="B750" t="s">
        <v>1523</v>
      </c>
      <c r="C750" t="s">
        <v>34</v>
      </c>
      <c r="D750" t="s">
        <v>70</v>
      </c>
      <c r="E750" t="s">
        <v>36</v>
      </c>
      <c r="F750" t="s">
        <v>27</v>
      </c>
      <c r="G750" t="s">
        <v>37</v>
      </c>
      <c r="H750">
        <v>41</v>
      </c>
      <c r="I750" s="5">
        <v>39156</v>
      </c>
      <c r="J750" s="11">
        <v>155926</v>
      </c>
      <c r="K750" s="6">
        <v>0.24</v>
      </c>
      <c r="L750" t="s">
        <v>21</v>
      </c>
      <c r="M750" t="s">
        <v>89</v>
      </c>
      <c r="N750" s="5">
        <v>39598</v>
      </c>
      <c r="O750">
        <f>TBL_Employees[[#This Row],[Bonus %]]*TBL_Employees[[#This Row],[Annual Salary]]</f>
        <v>37422.239999999998</v>
      </c>
      <c r="P750" t="str">
        <f>IF(TBL_Employees[[#This Row],[Age]]&gt;50,"Senior","Junior")</f>
        <v>Junior</v>
      </c>
      <c r="Q750" s="14" t="str">
        <f>IF(OR(D750="IT", J750&gt;100000), "YES", "NO")</f>
        <v>YES</v>
      </c>
      <c r="R750" s="14">
        <f>YEAR(TBL_Employees[[#This Row],[Hire Date]])</f>
        <v>2007</v>
      </c>
    </row>
    <row r="751" spans="1:18" x14ac:dyDescent="0.35">
      <c r="A751" t="s">
        <v>1524</v>
      </c>
      <c r="B751" t="s">
        <v>1525</v>
      </c>
      <c r="C751" t="s">
        <v>44</v>
      </c>
      <c r="D751" t="s">
        <v>60</v>
      </c>
      <c r="E751" t="s">
        <v>36</v>
      </c>
      <c r="F751" t="s">
        <v>27</v>
      </c>
      <c r="G751" t="s">
        <v>28</v>
      </c>
      <c r="H751">
        <v>54</v>
      </c>
      <c r="I751" s="5">
        <v>42494</v>
      </c>
      <c r="J751" s="11">
        <v>93668</v>
      </c>
      <c r="K751" s="6">
        <v>0</v>
      </c>
      <c r="L751" t="s">
        <v>21</v>
      </c>
      <c r="M751" t="s">
        <v>38</v>
      </c>
      <c r="N751" s="5" t="s">
        <v>31</v>
      </c>
      <c r="O751">
        <f>TBL_Employees[[#This Row],[Bonus %]]*TBL_Employees[[#This Row],[Annual Salary]]</f>
        <v>0</v>
      </c>
      <c r="P751" t="str">
        <f>IF(TBL_Employees[[#This Row],[Age]]&gt;50,"Senior","Junior")</f>
        <v>Senior</v>
      </c>
      <c r="Q751" s="14" t="str">
        <f>IF(OR(D751="IT", J751&gt;100000), "YES", "NO")</f>
        <v>NO</v>
      </c>
      <c r="R751" s="14">
        <f>YEAR(TBL_Employees[[#This Row],[Hire Date]])</f>
        <v>2016</v>
      </c>
    </row>
    <row r="752" spans="1:18" x14ac:dyDescent="0.35">
      <c r="A752" t="s">
        <v>1526</v>
      </c>
      <c r="B752" t="s">
        <v>1527</v>
      </c>
      <c r="C752" t="s">
        <v>165</v>
      </c>
      <c r="D752" t="s">
        <v>66</v>
      </c>
      <c r="E752" t="s">
        <v>18</v>
      </c>
      <c r="F752" t="s">
        <v>27</v>
      </c>
      <c r="G752" t="s">
        <v>37</v>
      </c>
      <c r="H752">
        <v>38</v>
      </c>
      <c r="I752" s="5">
        <v>43798</v>
      </c>
      <c r="J752" s="11">
        <v>69647</v>
      </c>
      <c r="K752" s="6">
        <v>0</v>
      </c>
      <c r="L752" t="s">
        <v>21</v>
      </c>
      <c r="M752" t="s">
        <v>57</v>
      </c>
      <c r="N752" s="5">
        <v>44671</v>
      </c>
      <c r="O752">
        <f>TBL_Employees[[#This Row],[Bonus %]]*TBL_Employees[[#This Row],[Annual Salary]]</f>
        <v>0</v>
      </c>
      <c r="P752" t="str">
        <f>IF(TBL_Employees[[#This Row],[Age]]&gt;50,"Senior","Junior")</f>
        <v>Junior</v>
      </c>
      <c r="Q752" s="14" t="str">
        <f>IF(OR(D752="IT", J752&gt;100000), "YES", "NO")</f>
        <v>NO</v>
      </c>
      <c r="R752" s="14">
        <f>YEAR(TBL_Employees[[#This Row],[Hire Date]])</f>
        <v>2019</v>
      </c>
    </row>
    <row r="753" spans="1:18" x14ac:dyDescent="0.35">
      <c r="A753" t="s">
        <v>1528</v>
      </c>
      <c r="B753" t="s">
        <v>1529</v>
      </c>
      <c r="C753" t="s">
        <v>300</v>
      </c>
      <c r="D753" t="s">
        <v>17</v>
      </c>
      <c r="E753" t="s">
        <v>50</v>
      </c>
      <c r="F753" t="s">
        <v>27</v>
      </c>
      <c r="G753" t="s">
        <v>28</v>
      </c>
      <c r="H753">
        <v>57</v>
      </c>
      <c r="I753" s="5">
        <v>37798</v>
      </c>
      <c r="J753" s="11">
        <v>63318</v>
      </c>
      <c r="K753" s="6">
        <v>0</v>
      </c>
      <c r="L753" t="s">
        <v>21</v>
      </c>
      <c r="M753" t="s">
        <v>89</v>
      </c>
      <c r="N753" s="5" t="s">
        <v>31</v>
      </c>
      <c r="O753">
        <f>TBL_Employees[[#This Row],[Bonus %]]*TBL_Employees[[#This Row],[Annual Salary]]</f>
        <v>0</v>
      </c>
      <c r="P753" t="str">
        <f>IF(TBL_Employees[[#This Row],[Age]]&gt;50,"Senior","Junior")</f>
        <v>Senior</v>
      </c>
      <c r="Q753" s="14" t="str">
        <f>IF(OR(D753="IT", J753&gt;100000), "YES", "NO")</f>
        <v>YES</v>
      </c>
      <c r="R753" s="14">
        <f>YEAR(TBL_Employees[[#This Row],[Hire Date]])</f>
        <v>2003</v>
      </c>
    </row>
    <row r="754" spans="1:18" x14ac:dyDescent="0.35">
      <c r="A754" t="s">
        <v>1530</v>
      </c>
      <c r="B754" t="s">
        <v>1531</v>
      </c>
      <c r="C754" t="s">
        <v>44</v>
      </c>
      <c r="D754" t="s">
        <v>81</v>
      </c>
      <c r="E754" t="s">
        <v>26</v>
      </c>
      <c r="F754" t="s">
        <v>27</v>
      </c>
      <c r="G754" t="s">
        <v>28</v>
      </c>
      <c r="H754">
        <v>63</v>
      </c>
      <c r="I754" s="5">
        <v>42778</v>
      </c>
      <c r="J754" s="11">
        <v>77629</v>
      </c>
      <c r="K754" s="6">
        <v>0</v>
      </c>
      <c r="L754" t="s">
        <v>29</v>
      </c>
      <c r="M754" t="s">
        <v>115</v>
      </c>
      <c r="N754" s="5" t="s">
        <v>31</v>
      </c>
      <c r="O754">
        <f>TBL_Employees[[#This Row],[Bonus %]]*TBL_Employees[[#This Row],[Annual Salary]]</f>
        <v>0</v>
      </c>
      <c r="P754" t="str">
        <f>IF(TBL_Employees[[#This Row],[Age]]&gt;50,"Senior","Junior")</f>
        <v>Senior</v>
      </c>
      <c r="Q754" s="14" t="str">
        <f>IF(OR(D754="IT", J754&gt;100000), "YES", "NO")</f>
        <v>NO</v>
      </c>
      <c r="R754" s="14">
        <f>YEAR(TBL_Employees[[#This Row],[Hire Date]])</f>
        <v>2017</v>
      </c>
    </row>
    <row r="755" spans="1:18" x14ac:dyDescent="0.35">
      <c r="A755" t="s">
        <v>1532</v>
      </c>
      <c r="B755" t="s">
        <v>1533</v>
      </c>
      <c r="C755" t="s">
        <v>16</v>
      </c>
      <c r="D755" t="s">
        <v>66</v>
      </c>
      <c r="E755" t="s">
        <v>26</v>
      </c>
      <c r="F755" t="s">
        <v>27</v>
      </c>
      <c r="G755" t="s">
        <v>28</v>
      </c>
      <c r="H755">
        <v>62</v>
      </c>
      <c r="I755" s="5">
        <v>43061</v>
      </c>
      <c r="J755" s="11">
        <v>138808</v>
      </c>
      <c r="K755" s="6">
        <v>0.15</v>
      </c>
      <c r="L755" t="s">
        <v>29</v>
      </c>
      <c r="M755" t="s">
        <v>30</v>
      </c>
      <c r="N755" s="5" t="s">
        <v>31</v>
      </c>
      <c r="O755">
        <f>TBL_Employees[[#This Row],[Bonus %]]*TBL_Employees[[#This Row],[Annual Salary]]</f>
        <v>20821.2</v>
      </c>
      <c r="P755" t="str">
        <f>IF(TBL_Employees[[#This Row],[Age]]&gt;50,"Senior","Junior")</f>
        <v>Senior</v>
      </c>
      <c r="Q755" s="14" t="str">
        <f>IF(OR(D755="IT", J755&gt;100000), "YES", "NO")</f>
        <v>YES</v>
      </c>
      <c r="R755" s="14">
        <f>YEAR(TBL_Employees[[#This Row],[Hire Date]])</f>
        <v>2017</v>
      </c>
    </row>
    <row r="756" spans="1:18" x14ac:dyDescent="0.35">
      <c r="A756" t="s">
        <v>1534</v>
      </c>
      <c r="B756" t="s">
        <v>1535</v>
      </c>
      <c r="C756" t="s">
        <v>132</v>
      </c>
      <c r="D756" t="s">
        <v>17</v>
      </c>
      <c r="E756" t="s">
        <v>18</v>
      </c>
      <c r="F756" t="s">
        <v>19</v>
      </c>
      <c r="G756" t="s">
        <v>37</v>
      </c>
      <c r="H756">
        <v>49</v>
      </c>
      <c r="I756" s="5">
        <v>41703</v>
      </c>
      <c r="J756" s="11">
        <v>88777</v>
      </c>
      <c r="K756" s="6">
        <v>0</v>
      </c>
      <c r="L756" t="s">
        <v>21</v>
      </c>
      <c r="M756" t="s">
        <v>38</v>
      </c>
      <c r="N756" s="5" t="s">
        <v>31</v>
      </c>
      <c r="O756">
        <f>TBL_Employees[[#This Row],[Bonus %]]*TBL_Employees[[#This Row],[Annual Salary]]</f>
        <v>0</v>
      </c>
      <c r="P756" t="str">
        <f>IF(TBL_Employees[[#This Row],[Age]]&gt;50,"Senior","Junior")</f>
        <v>Junior</v>
      </c>
      <c r="Q756" s="14" t="str">
        <f>IF(OR(D756="IT", J756&gt;100000), "YES", "NO")</f>
        <v>YES</v>
      </c>
      <c r="R756" s="14">
        <f>YEAR(TBL_Employees[[#This Row],[Hire Date]])</f>
        <v>2014</v>
      </c>
    </row>
    <row r="757" spans="1:18" x14ac:dyDescent="0.35">
      <c r="A757" t="s">
        <v>1536</v>
      </c>
      <c r="B757" t="s">
        <v>1537</v>
      </c>
      <c r="C757" t="s">
        <v>34</v>
      </c>
      <c r="D757" t="s">
        <v>60</v>
      </c>
      <c r="E757" t="s">
        <v>50</v>
      </c>
      <c r="F757" t="s">
        <v>19</v>
      </c>
      <c r="G757" t="s">
        <v>28</v>
      </c>
      <c r="H757">
        <v>60</v>
      </c>
      <c r="I757" s="5">
        <v>38121</v>
      </c>
      <c r="J757" s="11">
        <v>186378</v>
      </c>
      <c r="K757" s="6">
        <v>0.26</v>
      </c>
      <c r="L757" t="s">
        <v>29</v>
      </c>
      <c r="M757" t="s">
        <v>30</v>
      </c>
      <c r="N757" s="5" t="s">
        <v>31</v>
      </c>
      <c r="O757">
        <f>TBL_Employees[[#This Row],[Bonus %]]*TBL_Employees[[#This Row],[Annual Salary]]</f>
        <v>48458.28</v>
      </c>
      <c r="P757" t="str">
        <f>IF(TBL_Employees[[#This Row],[Age]]&gt;50,"Senior","Junior")</f>
        <v>Senior</v>
      </c>
      <c r="Q757" s="14" t="str">
        <f>IF(OR(D757="IT", J757&gt;100000), "YES", "NO")</f>
        <v>YES</v>
      </c>
      <c r="R757" s="14">
        <f>YEAR(TBL_Employees[[#This Row],[Hire Date]])</f>
        <v>2004</v>
      </c>
    </row>
    <row r="758" spans="1:18" x14ac:dyDescent="0.35">
      <c r="A758" t="s">
        <v>1538</v>
      </c>
      <c r="B758" t="s">
        <v>1539</v>
      </c>
      <c r="C758" t="s">
        <v>109</v>
      </c>
      <c r="D758" t="s">
        <v>70</v>
      </c>
      <c r="E758" t="s">
        <v>18</v>
      </c>
      <c r="F758" t="s">
        <v>19</v>
      </c>
      <c r="G758" t="s">
        <v>28</v>
      </c>
      <c r="H758">
        <v>45</v>
      </c>
      <c r="I758" s="5">
        <v>42117</v>
      </c>
      <c r="J758" s="11">
        <v>60017</v>
      </c>
      <c r="K758" s="6">
        <v>0</v>
      </c>
      <c r="L758" t="s">
        <v>21</v>
      </c>
      <c r="M758" t="s">
        <v>38</v>
      </c>
      <c r="N758" s="5" t="s">
        <v>31</v>
      </c>
      <c r="O758">
        <f>TBL_Employees[[#This Row],[Bonus %]]*TBL_Employees[[#This Row],[Annual Salary]]</f>
        <v>0</v>
      </c>
      <c r="P758" t="str">
        <f>IF(TBL_Employees[[#This Row],[Age]]&gt;50,"Senior","Junior")</f>
        <v>Junior</v>
      </c>
      <c r="Q758" s="14" t="str">
        <f>IF(OR(D758="IT", J758&gt;100000), "YES", "NO")</f>
        <v>NO</v>
      </c>
      <c r="R758" s="14">
        <f>YEAR(TBL_Employees[[#This Row],[Hire Date]])</f>
        <v>2015</v>
      </c>
    </row>
    <row r="759" spans="1:18" x14ac:dyDescent="0.35">
      <c r="A759" t="s">
        <v>1540</v>
      </c>
      <c r="B759" t="s">
        <v>1541</v>
      </c>
      <c r="C759" t="s">
        <v>16</v>
      </c>
      <c r="D759" t="s">
        <v>49</v>
      </c>
      <c r="E759" t="s">
        <v>36</v>
      </c>
      <c r="F759" t="s">
        <v>19</v>
      </c>
      <c r="G759" t="s">
        <v>86</v>
      </c>
      <c r="H759">
        <v>45</v>
      </c>
      <c r="I759" s="5">
        <v>43305</v>
      </c>
      <c r="J759" s="11">
        <v>148991</v>
      </c>
      <c r="K759" s="6">
        <v>0.12</v>
      </c>
      <c r="L759" t="s">
        <v>94</v>
      </c>
      <c r="M759" t="s">
        <v>219</v>
      </c>
      <c r="N759" s="5" t="s">
        <v>31</v>
      </c>
      <c r="O759">
        <f>TBL_Employees[[#This Row],[Bonus %]]*TBL_Employees[[#This Row],[Annual Salary]]</f>
        <v>17878.919999999998</v>
      </c>
      <c r="P759" t="str">
        <f>IF(TBL_Employees[[#This Row],[Age]]&gt;50,"Senior","Junior")</f>
        <v>Junior</v>
      </c>
      <c r="Q759" s="14" t="str">
        <f>IF(OR(D759="IT", J759&gt;100000), "YES", "NO")</f>
        <v>YES</v>
      </c>
      <c r="R759" s="14">
        <f>YEAR(TBL_Employees[[#This Row],[Hire Date]])</f>
        <v>2018</v>
      </c>
    </row>
    <row r="760" spans="1:18" x14ac:dyDescent="0.35">
      <c r="A760" t="s">
        <v>1542</v>
      </c>
      <c r="B760" t="s">
        <v>1543</v>
      </c>
      <c r="C760" t="s">
        <v>176</v>
      </c>
      <c r="D760" t="s">
        <v>70</v>
      </c>
      <c r="E760" t="s">
        <v>36</v>
      </c>
      <c r="F760" t="s">
        <v>19</v>
      </c>
      <c r="G760" t="s">
        <v>86</v>
      </c>
      <c r="H760">
        <v>52</v>
      </c>
      <c r="I760" s="5">
        <v>39532</v>
      </c>
      <c r="J760" s="11">
        <v>97398</v>
      </c>
      <c r="K760" s="6">
        <v>0</v>
      </c>
      <c r="L760" t="s">
        <v>94</v>
      </c>
      <c r="M760" t="s">
        <v>95</v>
      </c>
      <c r="N760" s="5" t="s">
        <v>31</v>
      </c>
      <c r="O760">
        <f>TBL_Employees[[#This Row],[Bonus %]]*TBL_Employees[[#This Row],[Annual Salary]]</f>
        <v>0</v>
      </c>
      <c r="P760" t="str">
        <f>IF(TBL_Employees[[#This Row],[Age]]&gt;50,"Senior","Junior")</f>
        <v>Senior</v>
      </c>
      <c r="Q760" s="14" t="str">
        <f>IF(OR(D760="IT", J760&gt;100000), "YES", "NO")</f>
        <v>NO</v>
      </c>
      <c r="R760" s="14">
        <f>YEAR(TBL_Employees[[#This Row],[Hire Date]])</f>
        <v>2008</v>
      </c>
    </row>
    <row r="761" spans="1:18" x14ac:dyDescent="0.35">
      <c r="A761" t="s">
        <v>1544</v>
      </c>
      <c r="B761" t="s">
        <v>1545</v>
      </c>
      <c r="C761" t="s">
        <v>144</v>
      </c>
      <c r="D761" t="s">
        <v>66</v>
      </c>
      <c r="E761" t="s">
        <v>26</v>
      </c>
      <c r="F761" t="s">
        <v>19</v>
      </c>
      <c r="G761" t="s">
        <v>28</v>
      </c>
      <c r="H761">
        <v>63</v>
      </c>
      <c r="I761" s="5">
        <v>39204</v>
      </c>
      <c r="J761" s="11">
        <v>72805</v>
      </c>
      <c r="K761" s="6">
        <v>0</v>
      </c>
      <c r="L761" t="s">
        <v>29</v>
      </c>
      <c r="M761" t="s">
        <v>75</v>
      </c>
      <c r="N761" s="5" t="s">
        <v>31</v>
      </c>
      <c r="O761">
        <f>TBL_Employees[[#This Row],[Bonus %]]*TBL_Employees[[#This Row],[Annual Salary]]</f>
        <v>0</v>
      </c>
      <c r="P761" t="str">
        <f>IF(TBL_Employees[[#This Row],[Age]]&gt;50,"Senior","Junior")</f>
        <v>Senior</v>
      </c>
      <c r="Q761" s="14" t="str">
        <f>IF(OR(D761="IT", J761&gt;100000), "YES", "NO")</f>
        <v>NO</v>
      </c>
      <c r="R761" s="14">
        <f>YEAR(TBL_Employees[[#This Row],[Hire Date]])</f>
        <v>2007</v>
      </c>
    </row>
    <row r="762" spans="1:18" x14ac:dyDescent="0.35">
      <c r="A762" t="s">
        <v>1546</v>
      </c>
      <c r="B762" t="s">
        <v>1547</v>
      </c>
      <c r="C762" t="s">
        <v>295</v>
      </c>
      <c r="D762" t="s">
        <v>49</v>
      </c>
      <c r="E762" t="s">
        <v>18</v>
      </c>
      <c r="F762" t="s">
        <v>19</v>
      </c>
      <c r="G762" t="s">
        <v>28</v>
      </c>
      <c r="H762">
        <v>46</v>
      </c>
      <c r="I762" s="5">
        <v>44213</v>
      </c>
      <c r="J762" s="11">
        <v>72131</v>
      </c>
      <c r="K762" s="6">
        <v>0</v>
      </c>
      <c r="L762" t="s">
        <v>29</v>
      </c>
      <c r="M762" t="s">
        <v>75</v>
      </c>
      <c r="N762" s="5" t="s">
        <v>31</v>
      </c>
      <c r="O762">
        <f>TBL_Employees[[#This Row],[Bonus %]]*TBL_Employees[[#This Row],[Annual Salary]]</f>
        <v>0</v>
      </c>
      <c r="P762" t="str">
        <f>IF(TBL_Employees[[#This Row],[Age]]&gt;50,"Senior","Junior")</f>
        <v>Junior</v>
      </c>
      <c r="Q762" s="14" t="str">
        <f>IF(OR(D762="IT", J762&gt;100000), "YES", "NO")</f>
        <v>NO</v>
      </c>
      <c r="R762" s="14">
        <f>YEAR(TBL_Employees[[#This Row],[Hire Date]])</f>
        <v>2021</v>
      </c>
    </row>
    <row r="763" spans="1:18" x14ac:dyDescent="0.35">
      <c r="A763" t="s">
        <v>1548</v>
      </c>
      <c r="B763" t="s">
        <v>1549</v>
      </c>
      <c r="C763" t="s">
        <v>53</v>
      </c>
      <c r="D763" t="s">
        <v>66</v>
      </c>
      <c r="E763" t="s">
        <v>26</v>
      </c>
      <c r="F763" t="s">
        <v>27</v>
      </c>
      <c r="G763" t="s">
        <v>37</v>
      </c>
      <c r="H763">
        <v>64</v>
      </c>
      <c r="I763" s="5">
        <v>33964</v>
      </c>
      <c r="J763" s="11">
        <v>104668</v>
      </c>
      <c r="K763" s="6">
        <v>0.08</v>
      </c>
      <c r="L763" t="s">
        <v>21</v>
      </c>
      <c r="M763" t="s">
        <v>89</v>
      </c>
      <c r="N763" s="5" t="s">
        <v>31</v>
      </c>
      <c r="O763">
        <f>TBL_Employees[[#This Row],[Bonus %]]*TBL_Employees[[#This Row],[Annual Salary]]</f>
        <v>8373.44</v>
      </c>
      <c r="P763" t="str">
        <f>IF(TBL_Employees[[#This Row],[Age]]&gt;50,"Senior","Junior")</f>
        <v>Senior</v>
      </c>
      <c r="Q763" s="14" t="str">
        <f>IF(OR(D763="IT", J763&gt;100000), "YES", "NO")</f>
        <v>YES</v>
      </c>
      <c r="R763" s="14">
        <f>YEAR(TBL_Employees[[#This Row],[Hire Date]])</f>
        <v>1992</v>
      </c>
    </row>
    <row r="764" spans="1:18" x14ac:dyDescent="0.35">
      <c r="A764" t="s">
        <v>1550</v>
      </c>
      <c r="B764" t="s">
        <v>1551</v>
      </c>
      <c r="C764" t="s">
        <v>44</v>
      </c>
      <c r="D764" t="s">
        <v>49</v>
      </c>
      <c r="E764" t="s">
        <v>26</v>
      </c>
      <c r="F764" t="s">
        <v>19</v>
      </c>
      <c r="G764" t="s">
        <v>37</v>
      </c>
      <c r="H764">
        <v>53</v>
      </c>
      <c r="I764" s="5">
        <v>42952</v>
      </c>
      <c r="J764" s="11">
        <v>89769</v>
      </c>
      <c r="K764" s="6">
        <v>0</v>
      </c>
      <c r="L764" t="s">
        <v>21</v>
      </c>
      <c r="M764" t="s">
        <v>22</v>
      </c>
      <c r="N764" s="5" t="s">
        <v>31</v>
      </c>
      <c r="O764">
        <f>TBL_Employees[[#This Row],[Bonus %]]*TBL_Employees[[#This Row],[Annual Salary]]</f>
        <v>0</v>
      </c>
      <c r="P764" t="str">
        <f>IF(TBL_Employees[[#This Row],[Age]]&gt;50,"Senior","Junior")</f>
        <v>Senior</v>
      </c>
      <c r="Q764" s="14" t="str">
        <f>IF(OR(D764="IT", J764&gt;100000), "YES", "NO")</f>
        <v>NO</v>
      </c>
      <c r="R764" s="14">
        <f>YEAR(TBL_Employees[[#This Row],[Hire Date]])</f>
        <v>2017</v>
      </c>
    </row>
    <row r="765" spans="1:18" x14ac:dyDescent="0.35">
      <c r="A765" t="s">
        <v>1552</v>
      </c>
      <c r="B765" t="s">
        <v>1553</v>
      </c>
      <c r="C765" t="s">
        <v>53</v>
      </c>
      <c r="D765" t="s">
        <v>49</v>
      </c>
      <c r="E765" t="s">
        <v>50</v>
      </c>
      <c r="F765" t="s">
        <v>19</v>
      </c>
      <c r="G765" t="s">
        <v>28</v>
      </c>
      <c r="H765">
        <v>27</v>
      </c>
      <c r="I765" s="5">
        <v>43358</v>
      </c>
      <c r="J765" s="11">
        <v>127616</v>
      </c>
      <c r="K765" s="6">
        <v>7.0000000000000007E-2</v>
      </c>
      <c r="L765" t="s">
        <v>21</v>
      </c>
      <c r="M765" t="s">
        <v>89</v>
      </c>
      <c r="N765" s="5" t="s">
        <v>31</v>
      </c>
      <c r="O765">
        <f>TBL_Employees[[#This Row],[Bonus %]]*TBL_Employees[[#This Row],[Annual Salary]]</f>
        <v>8933.1200000000008</v>
      </c>
      <c r="P765" t="str">
        <f>IF(TBL_Employees[[#This Row],[Age]]&gt;50,"Senior","Junior")</f>
        <v>Junior</v>
      </c>
      <c r="Q765" s="14" t="str">
        <f>IF(OR(D765="IT", J765&gt;100000), "YES", "NO")</f>
        <v>YES</v>
      </c>
      <c r="R765" s="14">
        <f>YEAR(TBL_Employees[[#This Row],[Hire Date]])</f>
        <v>2018</v>
      </c>
    </row>
    <row r="766" spans="1:18" x14ac:dyDescent="0.35">
      <c r="A766" t="s">
        <v>551</v>
      </c>
      <c r="B766" t="s">
        <v>1554</v>
      </c>
      <c r="C766" t="s">
        <v>53</v>
      </c>
      <c r="D766" t="s">
        <v>66</v>
      </c>
      <c r="E766" t="s">
        <v>50</v>
      </c>
      <c r="F766" t="s">
        <v>27</v>
      </c>
      <c r="G766" t="s">
        <v>37</v>
      </c>
      <c r="H766">
        <v>45</v>
      </c>
      <c r="I766" s="5">
        <v>41099</v>
      </c>
      <c r="J766" s="11">
        <v>109883</v>
      </c>
      <c r="K766" s="6">
        <v>7.0000000000000007E-2</v>
      </c>
      <c r="L766" t="s">
        <v>21</v>
      </c>
      <c r="M766" t="s">
        <v>89</v>
      </c>
      <c r="N766" s="5" t="s">
        <v>31</v>
      </c>
      <c r="O766">
        <f>TBL_Employees[[#This Row],[Bonus %]]*TBL_Employees[[#This Row],[Annual Salary]]</f>
        <v>7691.81</v>
      </c>
      <c r="P766" t="str">
        <f>IF(TBL_Employees[[#This Row],[Age]]&gt;50,"Senior","Junior")</f>
        <v>Junior</v>
      </c>
      <c r="Q766" s="14" t="str">
        <f>IF(OR(D766="IT", J766&gt;100000), "YES", "NO")</f>
        <v>YES</v>
      </c>
      <c r="R766" s="14">
        <f>YEAR(TBL_Employees[[#This Row],[Hire Date]])</f>
        <v>2012</v>
      </c>
    </row>
    <row r="767" spans="1:18" x14ac:dyDescent="0.35">
      <c r="A767" t="s">
        <v>1555</v>
      </c>
      <c r="B767" t="s">
        <v>1556</v>
      </c>
      <c r="C767" t="s">
        <v>185</v>
      </c>
      <c r="D767" t="s">
        <v>66</v>
      </c>
      <c r="E767" t="s">
        <v>26</v>
      </c>
      <c r="F767" t="s">
        <v>19</v>
      </c>
      <c r="G767" t="s">
        <v>28</v>
      </c>
      <c r="H767">
        <v>25</v>
      </c>
      <c r="I767" s="5">
        <v>44270</v>
      </c>
      <c r="J767" s="11">
        <v>47974</v>
      </c>
      <c r="K767" s="6">
        <v>0</v>
      </c>
      <c r="L767" t="s">
        <v>29</v>
      </c>
      <c r="M767" t="s">
        <v>30</v>
      </c>
      <c r="N767" s="5" t="s">
        <v>31</v>
      </c>
      <c r="O767">
        <f>TBL_Employees[[#This Row],[Bonus %]]*TBL_Employees[[#This Row],[Annual Salary]]</f>
        <v>0</v>
      </c>
      <c r="P767" t="str">
        <f>IF(TBL_Employees[[#This Row],[Age]]&gt;50,"Senior","Junior")</f>
        <v>Junior</v>
      </c>
      <c r="Q767" s="14" t="str">
        <f>IF(OR(D767="IT", J767&gt;100000), "YES", "NO")</f>
        <v>NO</v>
      </c>
      <c r="R767" s="14">
        <f>YEAR(TBL_Employees[[#This Row],[Hire Date]])</f>
        <v>2021</v>
      </c>
    </row>
    <row r="768" spans="1:18" x14ac:dyDescent="0.35">
      <c r="A768" t="s">
        <v>1557</v>
      </c>
      <c r="B768" t="s">
        <v>1558</v>
      </c>
      <c r="C768" t="s">
        <v>16</v>
      </c>
      <c r="D768" t="s">
        <v>17</v>
      </c>
      <c r="E768" t="s">
        <v>36</v>
      </c>
      <c r="F768" t="s">
        <v>19</v>
      </c>
      <c r="G768" t="s">
        <v>37</v>
      </c>
      <c r="H768">
        <v>43</v>
      </c>
      <c r="I768" s="5">
        <v>42090</v>
      </c>
      <c r="J768" s="11">
        <v>120321</v>
      </c>
      <c r="K768" s="6">
        <v>0.12</v>
      </c>
      <c r="L768" t="s">
        <v>21</v>
      </c>
      <c r="M768" t="s">
        <v>61</v>
      </c>
      <c r="N768" s="5" t="s">
        <v>31</v>
      </c>
      <c r="O768">
        <f>TBL_Employees[[#This Row],[Bonus %]]*TBL_Employees[[#This Row],[Annual Salary]]</f>
        <v>14438.519999999999</v>
      </c>
      <c r="P768" t="str">
        <f>IF(TBL_Employees[[#This Row],[Age]]&gt;50,"Senior","Junior")</f>
        <v>Junior</v>
      </c>
      <c r="Q768" s="14" t="str">
        <f>IF(OR(D768="IT", J768&gt;100000), "YES", "NO")</f>
        <v>YES</v>
      </c>
      <c r="R768" s="14">
        <f>YEAR(TBL_Employees[[#This Row],[Hire Date]])</f>
        <v>2015</v>
      </c>
    </row>
    <row r="769" spans="1:18" x14ac:dyDescent="0.35">
      <c r="A769" t="s">
        <v>1559</v>
      </c>
      <c r="B769" t="s">
        <v>1560</v>
      </c>
      <c r="C769" t="s">
        <v>120</v>
      </c>
      <c r="D769" t="s">
        <v>17</v>
      </c>
      <c r="E769" t="s">
        <v>26</v>
      </c>
      <c r="F769" t="s">
        <v>19</v>
      </c>
      <c r="G769" t="s">
        <v>86</v>
      </c>
      <c r="H769">
        <v>61</v>
      </c>
      <c r="I769" s="5">
        <v>41861</v>
      </c>
      <c r="J769" s="11">
        <v>57446</v>
      </c>
      <c r="K769" s="6">
        <v>0</v>
      </c>
      <c r="L769" t="s">
        <v>21</v>
      </c>
      <c r="M769" t="s">
        <v>45</v>
      </c>
      <c r="N769" s="5" t="s">
        <v>31</v>
      </c>
      <c r="O769">
        <f>TBL_Employees[[#This Row],[Bonus %]]*TBL_Employees[[#This Row],[Annual Salary]]</f>
        <v>0</v>
      </c>
      <c r="P769" t="str">
        <f>IF(TBL_Employees[[#This Row],[Age]]&gt;50,"Senior","Junior")</f>
        <v>Senior</v>
      </c>
      <c r="Q769" s="14" t="str">
        <f>IF(OR(D769="IT", J769&gt;100000), "YES", "NO")</f>
        <v>YES</v>
      </c>
      <c r="R769" s="14">
        <f>YEAR(TBL_Employees[[#This Row],[Hire Date]])</f>
        <v>2014</v>
      </c>
    </row>
    <row r="770" spans="1:18" x14ac:dyDescent="0.35">
      <c r="A770" t="s">
        <v>1561</v>
      </c>
      <c r="B770" t="s">
        <v>1562</v>
      </c>
      <c r="C770" t="s">
        <v>34</v>
      </c>
      <c r="D770" t="s">
        <v>60</v>
      </c>
      <c r="E770" t="s">
        <v>18</v>
      </c>
      <c r="F770" t="s">
        <v>19</v>
      </c>
      <c r="G770" t="s">
        <v>37</v>
      </c>
      <c r="H770">
        <v>42</v>
      </c>
      <c r="I770" s="5">
        <v>39968</v>
      </c>
      <c r="J770" s="11">
        <v>174099</v>
      </c>
      <c r="K770" s="6">
        <v>0.26</v>
      </c>
      <c r="L770" t="s">
        <v>21</v>
      </c>
      <c r="M770" t="s">
        <v>61</v>
      </c>
      <c r="N770" s="5" t="s">
        <v>31</v>
      </c>
      <c r="O770">
        <f>TBL_Employees[[#This Row],[Bonus %]]*TBL_Employees[[#This Row],[Annual Salary]]</f>
        <v>45265.74</v>
      </c>
      <c r="P770" t="str">
        <f>IF(TBL_Employees[[#This Row],[Age]]&gt;50,"Senior","Junior")</f>
        <v>Junior</v>
      </c>
      <c r="Q770" s="14" t="str">
        <f>IF(OR(D770="IT", J770&gt;100000), "YES", "NO")</f>
        <v>YES</v>
      </c>
      <c r="R770" s="14">
        <f>YEAR(TBL_Employees[[#This Row],[Hire Date]])</f>
        <v>2009</v>
      </c>
    </row>
    <row r="771" spans="1:18" x14ac:dyDescent="0.35">
      <c r="A771" t="s">
        <v>1563</v>
      </c>
      <c r="B771" t="s">
        <v>1564</v>
      </c>
      <c r="C771" t="s">
        <v>16</v>
      </c>
      <c r="D771" t="s">
        <v>35</v>
      </c>
      <c r="E771" t="s">
        <v>26</v>
      </c>
      <c r="F771" t="s">
        <v>27</v>
      </c>
      <c r="G771" t="s">
        <v>28</v>
      </c>
      <c r="H771">
        <v>63</v>
      </c>
      <c r="I771" s="5">
        <v>37295</v>
      </c>
      <c r="J771" s="11">
        <v>128703</v>
      </c>
      <c r="K771" s="6">
        <v>0.13</v>
      </c>
      <c r="L771" t="s">
        <v>21</v>
      </c>
      <c r="M771" t="s">
        <v>61</v>
      </c>
      <c r="N771" s="5" t="s">
        <v>31</v>
      </c>
      <c r="O771">
        <f>TBL_Employees[[#This Row],[Bonus %]]*TBL_Employees[[#This Row],[Annual Salary]]</f>
        <v>16731.39</v>
      </c>
      <c r="P771" t="str">
        <f>IF(TBL_Employees[[#This Row],[Age]]&gt;50,"Senior","Junior")</f>
        <v>Senior</v>
      </c>
      <c r="Q771" s="14" t="str">
        <f>IF(OR(D771="IT", J771&gt;100000), "YES", "NO")</f>
        <v>YES</v>
      </c>
      <c r="R771" s="14">
        <f>YEAR(TBL_Employees[[#This Row],[Hire Date]])</f>
        <v>2002</v>
      </c>
    </row>
    <row r="772" spans="1:18" x14ac:dyDescent="0.35">
      <c r="A772" t="s">
        <v>1565</v>
      </c>
      <c r="B772" t="s">
        <v>1566</v>
      </c>
      <c r="C772" t="s">
        <v>176</v>
      </c>
      <c r="D772" t="s">
        <v>70</v>
      </c>
      <c r="E772" t="s">
        <v>50</v>
      </c>
      <c r="F772" t="s">
        <v>19</v>
      </c>
      <c r="G772" t="s">
        <v>37</v>
      </c>
      <c r="H772">
        <v>32</v>
      </c>
      <c r="I772" s="5">
        <v>42317</v>
      </c>
      <c r="J772" s="11">
        <v>65247</v>
      </c>
      <c r="K772" s="6">
        <v>0</v>
      </c>
      <c r="L772" t="s">
        <v>21</v>
      </c>
      <c r="M772" t="s">
        <v>45</v>
      </c>
      <c r="N772" s="5" t="s">
        <v>31</v>
      </c>
      <c r="O772">
        <f>TBL_Employees[[#This Row],[Bonus %]]*TBL_Employees[[#This Row],[Annual Salary]]</f>
        <v>0</v>
      </c>
      <c r="P772" t="str">
        <f>IF(TBL_Employees[[#This Row],[Age]]&gt;50,"Senior","Junior")</f>
        <v>Junior</v>
      </c>
      <c r="Q772" s="14" t="str">
        <f>IF(OR(D772="IT", J772&gt;100000), "YES", "NO")</f>
        <v>NO</v>
      </c>
      <c r="R772" s="14">
        <f>YEAR(TBL_Employees[[#This Row],[Hire Date]])</f>
        <v>2015</v>
      </c>
    </row>
    <row r="773" spans="1:18" x14ac:dyDescent="0.35">
      <c r="A773" t="s">
        <v>1567</v>
      </c>
      <c r="B773" t="s">
        <v>1568</v>
      </c>
      <c r="C773" t="s">
        <v>109</v>
      </c>
      <c r="D773" t="s">
        <v>70</v>
      </c>
      <c r="E773" t="s">
        <v>18</v>
      </c>
      <c r="F773" t="s">
        <v>27</v>
      </c>
      <c r="G773" t="s">
        <v>86</v>
      </c>
      <c r="H773">
        <v>27</v>
      </c>
      <c r="I773" s="5">
        <v>43371</v>
      </c>
      <c r="J773" s="11">
        <v>64247</v>
      </c>
      <c r="K773" s="6">
        <v>0</v>
      </c>
      <c r="L773" t="s">
        <v>94</v>
      </c>
      <c r="M773" t="s">
        <v>100</v>
      </c>
      <c r="N773" s="5" t="s">
        <v>31</v>
      </c>
      <c r="O773">
        <f>TBL_Employees[[#This Row],[Bonus %]]*TBL_Employees[[#This Row],[Annual Salary]]</f>
        <v>0</v>
      </c>
      <c r="P773" t="str">
        <f>IF(TBL_Employees[[#This Row],[Age]]&gt;50,"Senior","Junior")</f>
        <v>Junior</v>
      </c>
      <c r="Q773" s="14" t="str">
        <f>IF(OR(D773="IT", J773&gt;100000), "YES", "NO")</f>
        <v>NO</v>
      </c>
      <c r="R773" s="14">
        <f>YEAR(TBL_Employees[[#This Row],[Hire Date]])</f>
        <v>2018</v>
      </c>
    </row>
    <row r="774" spans="1:18" x14ac:dyDescent="0.35">
      <c r="A774" t="s">
        <v>1569</v>
      </c>
      <c r="B774" t="s">
        <v>1570</v>
      </c>
      <c r="C774" t="s">
        <v>53</v>
      </c>
      <c r="D774" t="s">
        <v>66</v>
      </c>
      <c r="E774" t="s">
        <v>18</v>
      </c>
      <c r="F774" t="s">
        <v>19</v>
      </c>
      <c r="G774" t="s">
        <v>37</v>
      </c>
      <c r="H774">
        <v>33</v>
      </c>
      <c r="I774" s="5">
        <v>41071</v>
      </c>
      <c r="J774" s="11">
        <v>118253</v>
      </c>
      <c r="K774" s="6">
        <v>0.08</v>
      </c>
      <c r="L774" t="s">
        <v>21</v>
      </c>
      <c r="M774" t="s">
        <v>61</v>
      </c>
      <c r="N774" s="5" t="s">
        <v>31</v>
      </c>
      <c r="O774">
        <f>TBL_Employees[[#This Row],[Bonus %]]*TBL_Employees[[#This Row],[Annual Salary]]</f>
        <v>9460.24</v>
      </c>
      <c r="P774" t="str">
        <f>IF(TBL_Employees[[#This Row],[Age]]&gt;50,"Senior","Junior")</f>
        <v>Junior</v>
      </c>
      <c r="Q774" s="14" t="str">
        <f>IF(OR(D774="IT", J774&gt;100000), "YES", "NO")</f>
        <v>YES</v>
      </c>
      <c r="R774" s="14">
        <f>YEAR(TBL_Employees[[#This Row],[Hire Date]])</f>
        <v>2012</v>
      </c>
    </row>
    <row r="775" spans="1:18" x14ac:dyDescent="0.35">
      <c r="A775" t="s">
        <v>1571</v>
      </c>
      <c r="B775" t="s">
        <v>1572</v>
      </c>
      <c r="C775" t="s">
        <v>182</v>
      </c>
      <c r="D775" t="s">
        <v>70</v>
      </c>
      <c r="E775" t="s">
        <v>26</v>
      </c>
      <c r="F775" t="s">
        <v>19</v>
      </c>
      <c r="G775" t="s">
        <v>28</v>
      </c>
      <c r="H775">
        <v>45</v>
      </c>
      <c r="I775" s="5">
        <v>38057</v>
      </c>
      <c r="J775" s="11">
        <v>109422</v>
      </c>
      <c r="K775" s="6">
        <v>0</v>
      </c>
      <c r="L775" t="s">
        <v>29</v>
      </c>
      <c r="M775" t="s">
        <v>30</v>
      </c>
      <c r="N775" s="5" t="s">
        <v>31</v>
      </c>
      <c r="O775">
        <f>TBL_Employees[[#This Row],[Bonus %]]*TBL_Employees[[#This Row],[Annual Salary]]</f>
        <v>0</v>
      </c>
      <c r="P775" t="str">
        <f>IF(TBL_Employees[[#This Row],[Age]]&gt;50,"Senior","Junior")</f>
        <v>Junior</v>
      </c>
      <c r="Q775" s="14" t="str">
        <f>IF(OR(D775="IT", J775&gt;100000), "YES", "NO")</f>
        <v>YES</v>
      </c>
      <c r="R775" s="14">
        <f>YEAR(TBL_Employees[[#This Row],[Hire Date]])</f>
        <v>2004</v>
      </c>
    </row>
    <row r="776" spans="1:18" x14ac:dyDescent="0.35">
      <c r="A776" t="s">
        <v>1573</v>
      </c>
      <c r="B776" t="s">
        <v>1574</v>
      </c>
      <c r="C776" t="s">
        <v>53</v>
      </c>
      <c r="D776" t="s">
        <v>66</v>
      </c>
      <c r="E776" t="s">
        <v>50</v>
      </c>
      <c r="F776" t="s">
        <v>27</v>
      </c>
      <c r="G776" t="s">
        <v>28</v>
      </c>
      <c r="H776">
        <v>41</v>
      </c>
      <c r="I776" s="5">
        <v>43502</v>
      </c>
      <c r="J776" s="11">
        <v>126950</v>
      </c>
      <c r="K776" s="6">
        <v>0.1</v>
      </c>
      <c r="L776" t="s">
        <v>21</v>
      </c>
      <c r="M776" t="s">
        <v>38</v>
      </c>
      <c r="N776" s="5" t="s">
        <v>31</v>
      </c>
      <c r="O776">
        <f>TBL_Employees[[#This Row],[Bonus %]]*TBL_Employees[[#This Row],[Annual Salary]]</f>
        <v>12695</v>
      </c>
      <c r="P776" t="str">
        <f>IF(TBL_Employees[[#This Row],[Age]]&gt;50,"Senior","Junior")</f>
        <v>Junior</v>
      </c>
      <c r="Q776" s="14" t="str">
        <f>IF(OR(D776="IT", J776&gt;100000), "YES", "NO")</f>
        <v>YES</v>
      </c>
      <c r="R776" s="14">
        <f>YEAR(TBL_Employees[[#This Row],[Hire Date]])</f>
        <v>2019</v>
      </c>
    </row>
    <row r="777" spans="1:18" x14ac:dyDescent="0.35">
      <c r="A777" t="s">
        <v>1575</v>
      </c>
      <c r="B777" t="s">
        <v>1576</v>
      </c>
      <c r="C777" t="s">
        <v>132</v>
      </c>
      <c r="D777" t="s">
        <v>17</v>
      </c>
      <c r="E777" t="s">
        <v>26</v>
      </c>
      <c r="F777" t="s">
        <v>19</v>
      </c>
      <c r="G777" t="s">
        <v>28</v>
      </c>
      <c r="H777">
        <v>36</v>
      </c>
      <c r="I777" s="5">
        <v>41964</v>
      </c>
      <c r="J777" s="11">
        <v>97500</v>
      </c>
      <c r="K777" s="6">
        <v>0</v>
      </c>
      <c r="L777" t="s">
        <v>21</v>
      </c>
      <c r="M777" t="s">
        <v>57</v>
      </c>
      <c r="N777" s="5" t="s">
        <v>31</v>
      </c>
      <c r="O777">
        <f>TBL_Employees[[#This Row],[Bonus %]]*TBL_Employees[[#This Row],[Annual Salary]]</f>
        <v>0</v>
      </c>
      <c r="P777" t="str">
        <f>IF(TBL_Employees[[#This Row],[Age]]&gt;50,"Senior","Junior")</f>
        <v>Junior</v>
      </c>
      <c r="Q777" s="14" t="str">
        <f>IF(OR(D777="IT", J777&gt;100000), "YES", "NO")</f>
        <v>YES</v>
      </c>
      <c r="R777" s="14">
        <f>YEAR(TBL_Employees[[#This Row],[Hire Date]])</f>
        <v>2014</v>
      </c>
    </row>
    <row r="778" spans="1:18" x14ac:dyDescent="0.35">
      <c r="A778" t="s">
        <v>1577</v>
      </c>
      <c r="B778" t="s">
        <v>1578</v>
      </c>
      <c r="C778" t="s">
        <v>120</v>
      </c>
      <c r="D778" t="s">
        <v>17</v>
      </c>
      <c r="E778" t="s">
        <v>26</v>
      </c>
      <c r="F778" t="s">
        <v>27</v>
      </c>
      <c r="G778" t="s">
        <v>28</v>
      </c>
      <c r="H778">
        <v>25</v>
      </c>
      <c r="I778" s="5">
        <v>44213</v>
      </c>
      <c r="J778" s="11">
        <v>41844</v>
      </c>
      <c r="K778" s="6">
        <v>0</v>
      </c>
      <c r="L778" t="s">
        <v>29</v>
      </c>
      <c r="M778" t="s">
        <v>30</v>
      </c>
      <c r="N778" s="5" t="s">
        <v>31</v>
      </c>
      <c r="O778">
        <f>TBL_Employees[[#This Row],[Bonus %]]*TBL_Employees[[#This Row],[Annual Salary]]</f>
        <v>0</v>
      </c>
      <c r="P778" t="str">
        <f>IF(TBL_Employees[[#This Row],[Age]]&gt;50,"Senior","Junior")</f>
        <v>Junior</v>
      </c>
      <c r="Q778" s="14" t="str">
        <f>IF(OR(D778="IT", J778&gt;100000), "YES", "NO")</f>
        <v>YES</v>
      </c>
      <c r="R778" s="14">
        <f>YEAR(TBL_Employees[[#This Row],[Hire Date]])</f>
        <v>2021</v>
      </c>
    </row>
    <row r="779" spans="1:18" x14ac:dyDescent="0.35">
      <c r="A779" t="s">
        <v>1579</v>
      </c>
      <c r="B779" t="s">
        <v>1580</v>
      </c>
      <c r="C779" t="s">
        <v>125</v>
      </c>
      <c r="D779" t="s">
        <v>60</v>
      </c>
      <c r="E779" t="s">
        <v>18</v>
      </c>
      <c r="F779" t="s">
        <v>27</v>
      </c>
      <c r="G779" t="s">
        <v>28</v>
      </c>
      <c r="H779">
        <v>43</v>
      </c>
      <c r="I779" s="5">
        <v>41680</v>
      </c>
      <c r="J779" s="11">
        <v>58875</v>
      </c>
      <c r="K779" s="6">
        <v>0</v>
      </c>
      <c r="L779" t="s">
        <v>29</v>
      </c>
      <c r="M779" t="s">
        <v>135</v>
      </c>
      <c r="N779" s="5" t="s">
        <v>31</v>
      </c>
      <c r="O779">
        <f>TBL_Employees[[#This Row],[Bonus %]]*TBL_Employees[[#This Row],[Annual Salary]]</f>
        <v>0</v>
      </c>
      <c r="P779" t="str">
        <f>IF(TBL_Employees[[#This Row],[Age]]&gt;50,"Senior","Junior")</f>
        <v>Junior</v>
      </c>
      <c r="Q779" s="14" t="str">
        <f>IF(OR(D779="IT", J779&gt;100000), "YES", "NO")</f>
        <v>NO</v>
      </c>
      <c r="R779" s="14">
        <f>YEAR(TBL_Employees[[#This Row],[Hire Date]])</f>
        <v>2014</v>
      </c>
    </row>
    <row r="780" spans="1:18" x14ac:dyDescent="0.35">
      <c r="A780" t="s">
        <v>1581</v>
      </c>
      <c r="B780" t="s">
        <v>1582</v>
      </c>
      <c r="C780" t="s">
        <v>48</v>
      </c>
      <c r="D780" t="s">
        <v>49</v>
      </c>
      <c r="E780" t="s">
        <v>26</v>
      </c>
      <c r="F780" t="s">
        <v>19</v>
      </c>
      <c r="G780" t="s">
        <v>28</v>
      </c>
      <c r="H780">
        <v>37</v>
      </c>
      <c r="I780" s="5">
        <v>42318</v>
      </c>
      <c r="J780" s="11">
        <v>64204</v>
      </c>
      <c r="K780" s="6">
        <v>0</v>
      </c>
      <c r="L780" t="s">
        <v>21</v>
      </c>
      <c r="M780" t="s">
        <v>89</v>
      </c>
      <c r="N780" s="5">
        <v>44306</v>
      </c>
      <c r="O780">
        <f>TBL_Employees[[#This Row],[Bonus %]]*TBL_Employees[[#This Row],[Annual Salary]]</f>
        <v>0</v>
      </c>
      <c r="P780" t="str">
        <f>IF(TBL_Employees[[#This Row],[Age]]&gt;50,"Senior","Junior")</f>
        <v>Junior</v>
      </c>
      <c r="Q780" s="14" t="str">
        <f>IF(OR(D780="IT", J780&gt;100000), "YES", "NO")</f>
        <v>NO</v>
      </c>
      <c r="R780" s="14">
        <f>YEAR(TBL_Employees[[#This Row],[Hire Date]])</f>
        <v>2015</v>
      </c>
    </row>
    <row r="781" spans="1:18" x14ac:dyDescent="0.35">
      <c r="A781" t="s">
        <v>1583</v>
      </c>
      <c r="B781" t="s">
        <v>1584</v>
      </c>
      <c r="C781" t="s">
        <v>125</v>
      </c>
      <c r="D781" t="s">
        <v>49</v>
      </c>
      <c r="E781" t="s">
        <v>50</v>
      </c>
      <c r="F781" t="s">
        <v>19</v>
      </c>
      <c r="G781" t="s">
        <v>28</v>
      </c>
      <c r="H781">
        <v>42</v>
      </c>
      <c r="I781" s="5">
        <v>40307</v>
      </c>
      <c r="J781" s="11">
        <v>67743</v>
      </c>
      <c r="K781" s="6">
        <v>0</v>
      </c>
      <c r="L781" t="s">
        <v>29</v>
      </c>
      <c r="M781" t="s">
        <v>115</v>
      </c>
      <c r="N781" s="5">
        <v>41998</v>
      </c>
      <c r="O781">
        <f>TBL_Employees[[#This Row],[Bonus %]]*TBL_Employees[[#This Row],[Annual Salary]]</f>
        <v>0</v>
      </c>
      <c r="P781" t="str">
        <f>IF(TBL_Employees[[#This Row],[Age]]&gt;50,"Senior","Junior")</f>
        <v>Junior</v>
      </c>
      <c r="Q781" s="14" t="str">
        <f>IF(OR(D781="IT", J781&gt;100000), "YES", "NO")</f>
        <v>NO</v>
      </c>
      <c r="R781" s="14">
        <f>YEAR(TBL_Employees[[#This Row],[Hire Date]])</f>
        <v>2010</v>
      </c>
    </row>
    <row r="782" spans="1:18" x14ac:dyDescent="0.35">
      <c r="A782" t="s">
        <v>1585</v>
      </c>
      <c r="B782" t="s">
        <v>1230</v>
      </c>
      <c r="C782" t="s">
        <v>295</v>
      </c>
      <c r="D782" t="s">
        <v>49</v>
      </c>
      <c r="E782" t="s">
        <v>36</v>
      </c>
      <c r="F782" t="s">
        <v>19</v>
      </c>
      <c r="G782" t="s">
        <v>20</v>
      </c>
      <c r="H782">
        <v>60</v>
      </c>
      <c r="I782" s="5">
        <v>35641</v>
      </c>
      <c r="J782" s="11">
        <v>71677</v>
      </c>
      <c r="K782" s="6">
        <v>0</v>
      </c>
      <c r="L782" t="s">
        <v>21</v>
      </c>
      <c r="M782" t="s">
        <v>89</v>
      </c>
      <c r="N782" s="5" t="s">
        <v>31</v>
      </c>
      <c r="O782">
        <f>TBL_Employees[[#This Row],[Bonus %]]*TBL_Employees[[#This Row],[Annual Salary]]</f>
        <v>0</v>
      </c>
      <c r="P782" t="str">
        <f>IF(TBL_Employees[[#This Row],[Age]]&gt;50,"Senior","Junior")</f>
        <v>Senior</v>
      </c>
      <c r="Q782" s="14" t="str">
        <f>IF(OR(D782="IT", J782&gt;100000), "YES", "NO")</f>
        <v>NO</v>
      </c>
      <c r="R782" s="14">
        <f>YEAR(TBL_Employees[[#This Row],[Hire Date]])</f>
        <v>1997</v>
      </c>
    </row>
    <row r="783" spans="1:18" x14ac:dyDescent="0.35">
      <c r="A783" t="s">
        <v>1586</v>
      </c>
      <c r="B783" t="s">
        <v>1587</v>
      </c>
      <c r="C783" t="s">
        <v>120</v>
      </c>
      <c r="D783" t="s">
        <v>17</v>
      </c>
      <c r="E783" t="s">
        <v>36</v>
      </c>
      <c r="F783" t="s">
        <v>27</v>
      </c>
      <c r="G783" t="s">
        <v>28</v>
      </c>
      <c r="H783">
        <v>61</v>
      </c>
      <c r="I783" s="5">
        <v>36793</v>
      </c>
      <c r="J783" s="11">
        <v>40063</v>
      </c>
      <c r="K783" s="6">
        <v>0</v>
      </c>
      <c r="L783" t="s">
        <v>21</v>
      </c>
      <c r="M783" t="s">
        <v>57</v>
      </c>
      <c r="N783" s="5" t="s">
        <v>31</v>
      </c>
      <c r="O783">
        <f>TBL_Employees[[#This Row],[Bonus %]]*TBL_Employees[[#This Row],[Annual Salary]]</f>
        <v>0</v>
      </c>
      <c r="P783" t="str">
        <f>IF(TBL_Employees[[#This Row],[Age]]&gt;50,"Senior","Junior")</f>
        <v>Senior</v>
      </c>
      <c r="Q783" s="14" t="str">
        <f>IF(OR(D783="IT", J783&gt;100000), "YES", "NO")</f>
        <v>YES</v>
      </c>
      <c r="R783" s="14">
        <f>YEAR(TBL_Employees[[#This Row],[Hire Date]])</f>
        <v>2000</v>
      </c>
    </row>
    <row r="784" spans="1:18" x14ac:dyDescent="0.35">
      <c r="A784" t="s">
        <v>1588</v>
      </c>
      <c r="B784" t="s">
        <v>1589</v>
      </c>
      <c r="C784" t="s">
        <v>120</v>
      </c>
      <c r="D784" t="s">
        <v>17</v>
      </c>
      <c r="E784" t="s">
        <v>26</v>
      </c>
      <c r="F784" t="s">
        <v>19</v>
      </c>
      <c r="G784" t="s">
        <v>37</v>
      </c>
      <c r="H784">
        <v>55</v>
      </c>
      <c r="I784" s="5">
        <v>38107</v>
      </c>
      <c r="J784" s="11">
        <v>40124</v>
      </c>
      <c r="K784" s="6">
        <v>0</v>
      </c>
      <c r="L784" t="s">
        <v>21</v>
      </c>
      <c r="M784" t="s">
        <v>61</v>
      </c>
      <c r="N784" s="5" t="s">
        <v>31</v>
      </c>
      <c r="O784">
        <f>TBL_Employees[[#This Row],[Bonus %]]*TBL_Employees[[#This Row],[Annual Salary]]</f>
        <v>0</v>
      </c>
      <c r="P784" t="str">
        <f>IF(TBL_Employees[[#This Row],[Age]]&gt;50,"Senior","Junior")</f>
        <v>Senior</v>
      </c>
      <c r="Q784" s="14" t="str">
        <f>IF(OR(D784="IT", J784&gt;100000), "YES", "NO")</f>
        <v>YES</v>
      </c>
      <c r="R784" s="14">
        <f>YEAR(TBL_Employees[[#This Row],[Hire Date]])</f>
        <v>2004</v>
      </c>
    </row>
    <row r="785" spans="1:18" x14ac:dyDescent="0.35">
      <c r="A785" t="s">
        <v>1590</v>
      </c>
      <c r="B785" t="s">
        <v>1591</v>
      </c>
      <c r="C785" t="s">
        <v>179</v>
      </c>
      <c r="D785" t="s">
        <v>70</v>
      </c>
      <c r="E785" t="s">
        <v>26</v>
      </c>
      <c r="F785" t="s">
        <v>27</v>
      </c>
      <c r="G785" t="s">
        <v>28</v>
      </c>
      <c r="H785">
        <v>57</v>
      </c>
      <c r="I785" s="5">
        <v>43157</v>
      </c>
      <c r="J785" s="11">
        <v>103183</v>
      </c>
      <c r="K785" s="6">
        <v>0</v>
      </c>
      <c r="L785" t="s">
        <v>21</v>
      </c>
      <c r="M785" t="s">
        <v>61</v>
      </c>
      <c r="N785" s="5">
        <v>44386</v>
      </c>
      <c r="O785">
        <f>TBL_Employees[[#This Row],[Bonus %]]*TBL_Employees[[#This Row],[Annual Salary]]</f>
        <v>0</v>
      </c>
      <c r="P785" t="str">
        <f>IF(TBL_Employees[[#This Row],[Age]]&gt;50,"Senior","Junior")</f>
        <v>Senior</v>
      </c>
      <c r="Q785" s="14" t="str">
        <f>IF(OR(D785="IT", J785&gt;100000), "YES", "NO")</f>
        <v>YES</v>
      </c>
      <c r="R785" s="14">
        <f>YEAR(TBL_Employees[[#This Row],[Hire Date]])</f>
        <v>2018</v>
      </c>
    </row>
    <row r="786" spans="1:18" x14ac:dyDescent="0.35">
      <c r="A786" t="s">
        <v>1592</v>
      </c>
      <c r="B786" t="s">
        <v>1593</v>
      </c>
      <c r="C786" t="s">
        <v>300</v>
      </c>
      <c r="D786" t="s">
        <v>17</v>
      </c>
      <c r="E786" t="s">
        <v>50</v>
      </c>
      <c r="F786" t="s">
        <v>27</v>
      </c>
      <c r="G786" t="s">
        <v>28</v>
      </c>
      <c r="H786">
        <v>54</v>
      </c>
      <c r="I786" s="5">
        <v>35961</v>
      </c>
      <c r="J786" s="11">
        <v>95239</v>
      </c>
      <c r="K786" s="6">
        <v>0</v>
      </c>
      <c r="L786" t="s">
        <v>21</v>
      </c>
      <c r="M786" t="s">
        <v>45</v>
      </c>
      <c r="N786" s="5" t="s">
        <v>31</v>
      </c>
      <c r="O786">
        <f>TBL_Employees[[#This Row],[Bonus %]]*TBL_Employees[[#This Row],[Annual Salary]]</f>
        <v>0</v>
      </c>
      <c r="P786" t="str">
        <f>IF(TBL_Employees[[#This Row],[Age]]&gt;50,"Senior","Junior")</f>
        <v>Senior</v>
      </c>
      <c r="Q786" s="14" t="str">
        <f>IF(OR(D786="IT", J786&gt;100000), "YES", "NO")</f>
        <v>YES</v>
      </c>
      <c r="R786" s="14">
        <f>YEAR(TBL_Employees[[#This Row],[Hire Date]])</f>
        <v>1998</v>
      </c>
    </row>
    <row r="787" spans="1:18" x14ac:dyDescent="0.35">
      <c r="A787" t="s">
        <v>1594</v>
      </c>
      <c r="B787" t="s">
        <v>1310</v>
      </c>
      <c r="C787" t="s">
        <v>278</v>
      </c>
      <c r="D787" t="s">
        <v>70</v>
      </c>
      <c r="E787" t="s">
        <v>26</v>
      </c>
      <c r="F787" t="s">
        <v>19</v>
      </c>
      <c r="G787" t="s">
        <v>28</v>
      </c>
      <c r="H787">
        <v>29</v>
      </c>
      <c r="I787" s="5">
        <v>43778</v>
      </c>
      <c r="J787" s="11">
        <v>75012</v>
      </c>
      <c r="K787" s="6">
        <v>0</v>
      </c>
      <c r="L787" t="s">
        <v>21</v>
      </c>
      <c r="M787" t="s">
        <v>38</v>
      </c>
      <c r="N787" s="5" t="s">
        <v>31</v>
      </c>
      <c r="O787">
        <f>TBL_Employees[[#This Row],[Bonus %]]*TBL_Employees[[#This Row],[Annual Salary]]</f>
        <v>0</v>
      </c>
      <c r="P787" t="str">
        <f>IF(TBL_Employees[[#This Row],[Age]]&gt;50,"Senior","Junior")</f>
        <v>Junior</v>
      </c>
      <c r="Q787" s="14" t="str">
        <f>IF(OR(D787="IT", J787&gt;100000), "YES", "NO")</f>
        <v>NO</v>
      </c>
      <c r="R787" s="14">
        <f>YEAR(TBL_Employees[[#This Row],[Hire Date]])</f>
        <v>2019</v>
      </c>
    </row>
    <row r="788" spans="1:18" x14ac:dyDescent="0.35">
      <c r="A788" t="s">
        <v>1595</v>
      </c>
      <c r="B788" t="s">
        <v>1596</v>
      </c>
      <c r="C788" t="s">
        <v>249</v>
      </c>
      <c r="D788" t="s">
        <v>17</v>
      </c>
      <c r="E788" t="s">
        <v>26</v>
      </c>
      <c r="F788" t="s">
        <v>19</v>
      </c>
      <c r="G788" t="s">
        <v>28</v>
      </c>
      <c r="H788">
        <v>33</v>
      </c>
      <c r="I788" s="5">
        <v>41819</v>
      </c>
      <c r="J788" s="11">
        <v>96366</v>
      </c>
      <c r="K788" s="6">
        <v>0</v>
      </c>
      <c r="L788" t="s">
        <v>29</v>
      </c>
      <c r="M788" t="s">
        <v>135</v>
      </c>
      <c r="N788" s="5" t="s">
        <v>31</v>
      </c>
      <c r="O788">
        <f>TBL_Employees[[#This Row],[Bonus %]]*TBL_Employees[[#This Row],[Annual Salary]]</f>
        <v>0</v>
      </c>
      <c r="P788" t="str">
        <f>IF(TBL_Employees[[#This Row],[Age]]&gt;50,"Senior","Junior")</f>
        <v>Junior</v>
      </c>
      <c r="Q788" s="14" t="str">
        <f>IF(OR(D788="IT", J788&gt;100000), "YES", "NO")</f>
        <v>YES</v>
      </c>
      <c r="R788" s="14">
        <f>YEAR(TBL_Employees[[#This Row],[Hire Date]])</f>
        <v>2014</v>
      </c>
    </row>
    <row r="789" spans="1:18" x14ac:dyDescent="0.35">
      <c r="A789" t="s">
        <v>1597</v>
      </c>
      <c r="B789" t="s">
        <v>1598</v>
      </c>
      <c r="C789" t="s">
        <v>56</v>
      </c>
      <c r="D789" t="s">
        <v>81</v>
      </c>
      <c r="E789" t="s">
        <v>50</v>
      </c>
      <c r="F789" t="s">
        <v>19</v>
      </c>
      <c r="G789" t="s">
        <v>28</v>
      </c>
      <c r="H789">
        <v>39</v>
      </c>
      <c r="I789" s="5">
        <v>41849</v>
      </c>
      <c r="J789" s="11">
        <v>40897</v>
      </c>
      <c r="K789" s="6">
        <v>0</v>
      </c>
      <c r="L789" t="s">
        <v>21</v>
      </c>
      <c r="M789" t="s">
        <v>22</v>
      </c>
      <c r="N789" s="5" t="s">
        <v>31</v>
      </c>
      <c r="O789">
        <f>TBL_Employees[[#This Row],[Bonus %]]*TBL_Employees[[#This Row],[Annual Salary]]</f>
        <v>0</v>
      </c>
      <c r="P789" t="str">
        <f>IF(TBL_Employees[[#This Row],[Age]]&gt;50,"Senior","Junior")</f>
        <v>Junior</v>
      </c>
      <c r="Q789" s="14" t="str">
        <f>IF(OR(D789="IT", J789&gt;100000), "YES", "NO")</f>
        <v>NO</v>
      </c>
      <c r="R789" s="14">
        <f>YEAR(TBL_Employees[[#This Row],[Hire Date]])</f>
        <v>2014</v>
      </c>
    </row>
    <row r="790" spans="1:18" x14ac:dyDescent="0.35">
      <c r="A790" t="s">
        <v>1599</v>
      </c>
      <c r="B790" t="s">
        <v>1600</v>
      </c>
      <c r="C790" t="s">
        <v>53</v>
      </c>
      <c r="D790" t="s">
        <v>35</v>
      </c>
      <c r="E790" t="s">
        <v>18</v>
      </c>
      <c r="F790" t="s">
        <v>19</v>
      </c>
      <c r="G790" t="s">
        <v>28</v>
      </c>
      <c r="H790">
        <v>37</v>
      </c>
      <c r="I790" s="5">
        <v>42605</v>
      </c>
      <c r="J790" s="11">
        <v>124928</v>
      </c>
      <c r="K790" s="6">
        <v>0.06</v>
      </c>
      <c r="L790" t="s">
        <v>29</v>
      </c>
      <c r="M790" t="s">
        <v>30</v>
      </c>
      <c r="N790" s="5" t="s">
        <v>31</v>
      </c>
      <c r="O790">
        <f>TBL_Employees[[#This Row],[Bonus %]]*TBL_Employees[[#This Row],[Annual Salary]]</f>
        <v>7495.6799999999994</v>
      </c>
      <c r="P790" t="str">
        <f>IF(TBL_Employees[[#This Row],[Age]]&gt;50,"Senior","Junior")</f>
        <v>Junior</v>
      </c>
      <c r="Q790" s="14" t="str">
        <f>IF(OR(D790="IT", J790&gt;100000), "YES", "NO")</f>
        <v>YES</v>
      </c>
      <c r="R790" s="14">
        <f>YEAR(TBL_Employees[[#This Row],[Hire Date]])</f>
        <v>2016</v>
      </c>
    </row>
    <row r="791" spans="1:18" x14ac:dyDescent="0.35">
      <c r="A791" t="s">
        <v>1601</v>
      </c>
      <c r="B791" t="s">
        <v>1602</v>
      </c>
      <c r="C791" t="s">
        <v>53</v>
      </c>
      <c r="D791" t="s">
        <v>35</v>
      </c>
      <c r="E791" t="s">
        <v>36</v>
      </c>
      <c r="F791" t="s">
        <v>19</v>
      </c>
      <c r="G791" t="s">
        <v>86</v>
      </c>
      <c r="H791">
        <v>51</v>
      </c>
      <c r="I791" s="5">
        <v>41439</v>
      </c>
      <c r="J791" s="11">
        <v>108221</v>
      </c>
      <c r="K791" s="6">
        <v>0.05</v>
      </c>
      <c r="L791" t="s">
        <v>94</v>
      </c>
      <c r="M791" t="s">
        <v>95</v>
      </c>
      <c r="N791" s="5" t="s">
        <v>31</v>
      </c>
      <c r="O791">
        <f>TBL_Employees[[#This Row],[Bonus %]]*TBL_Employees[[#This Row],[Annual Salary]]</f>
        <v>5411.05</v>
      </c>
      <c r="P791" t="str">
        <f>IF(TBL_Employees[[#This Row],[Age]]&gt;50,"Senior","Junior")</f>
        <v>Senior</v>
      </c>
      <c r="Q791" s="14" t="str">
        <f>IF(OR(D791="IT", J791&gt;100000), "YES", "NO")</f>
        <v>YES</v>
      </c>
      <c r="R791" s="14">
        <f>YEAR(TBL_Employees[[#This Row],[Hire Date]])</f>
        <v>2013</v>
      </c>
    </row>
    <row r="792" spans="1:18" x14ac:dyDescent="0.35">
      <c r="A792" t="s">
        <v>503</v>
      </c>
      <c r="B792" t="s">
        <v>1603</v>
      </c>
      <c r="C792" t="s">
        <v>144</v>
      </c>
      <c r="D792" t="s">
        <v>66</v>
      </c>
      <c r="E792" t="s">
        <v>50</v>
      </c>
      <c r="F792" t="s">
        <v>27</v>
      </c>
      <c r="G792" t="s">
        <v>37</v>
      </c>
      <c r="H792">
        <v>46</v>
      </c>
      <c r="I792" s="5">
        <v>39133</v>
      </c>
      <c r="J792" s="11">
        <v>75579</v>
      </c>
      <c r="K792" s="6">
        <v>0</v>
      </c>
      <c r="L792" t="s">
        <v>21</v>
      </c>
      <c r="M792" t="s">
        <v>22</v>
      </c>
      <c r="N792" s="5" t="s">
        <v>31</v>
      </c>
      <c r="O792">
        <f>TBL_Employees[[#This Row],[Bonus %]]*TBL_Employees[[#This Row],[Annual Salary]]</f>
        <v>0</v>
      </c>
      <c r="P792" t="str">
        <f>IF(TBL_Employees[[#This Row],[Age]]&gt;50,"Senior","Junior")</f>
        <v>Junior</v>
      </c>
      <c r="Q792" s="14" t="str">
        <f>IF(OR(D792="IT", J792&gt;100000), "YES", "NO")</f>
        <v>NO</v>
      </c>
      <c r="R792" s="14">
        <f>YEAR(TBL_Employees[[#This Row],[Hire Date]])</f>
        <v>2007</v>
      </c>
    </row>
    <row r="793" spans="1:18" x14ac:dyDescent="0.35">
      <c r="A793" t="s">
        <v>1604</v>
      </c>
      <c r="B793" t="s">
        <v>1605</v>
      </c>
      <c r="C793" t="s">
        <v>16</v>
      </c>
      <c r="D793" t="s">
        <v>66</v>
      </c>
      <c r="E793" t="s">
        <v>26</v>
      </c>
      <c r="F793" t="s">
        <v>27</v>
      </c>
      <c r="G793" t="s">
        <v>86</v>
      </c>
      <c r="H793">
        <v>41</v>
      </c>
      <c r="I793" s="5">
        <v>42365</v>
      </c>
      <c r="J793" s="11">
        <v>129903</v>
      </c>
      <c r="K793" s="6">
        <v>0.13</v>
      </c>
      <c r="L793" t="s">
        <v>94</v>
      </c>
      <c r="M793" t="s">
        <v>219</v>
      </c>
      <c r="N793" s="5" t="s">
        <v>31</v>
      </c>
      <c r="O793">
        <f>TBL_Employees[[#This Row],[Bonus %]]*TBL_Employees[[#This Row],[Annual Salary]]</f>
        <v>16887.39</v>
      </c>
      <c r="P793" t="str">
        <f>IF(TBL_Employees[[#This Row],[Age]]&gt;50,"Senior","Junior")</f>
        <v>Junior</v>
      </c>
      <c r="Q793" s="14" t="str">
        <f>IF(OR(D793="IT", J793&gt;100000), "YES", "NO")</f>
        <v>YES</v>
      </c>
      <c r="R793" s="14">
        <f>YEAR(TBL_Employees[[#This Row],[Hire Date]])</f>
        <v>2015</v>
      </c>
    </row>
    <row r="794" spans="1:18" x14ac:dyDescent="0.35">
      <c r="A794" t="s">
        <v>1606</v>
      </c>
      <c r="B794" t="s">
        <v>1607</v>
      </c>
      <c r="C794" t="s">
        <v>34</v>
      </c>
      <c r="D794" t="s">
        <v>35</v>
      </c>
      <c r="E794" t="s">
        <v>18</v>
      </c>
      <c r="F794" t="s">
        <v>19</v>
      </c>
      <c r="G794" t="s">
        <v>28</v>
      </c>
      <c r="H794">
        <v>25</v>
      </c>
      <c r="I794" s="5">
        <v>44303</v>
      </c>
      <c r="J794" s="11">
        <v>186870</v>
      </c>
      <c r="K794" s="6">
        <v>0.2</v>
      </c>
      <c r="L794" t="s">
        <v>29</v>
      </c>
      <c r="M794" t="s">
        <v>75</v>
      </c>
      <c r="N794" s="5" t="s">
        <v>31</v>
      </c>
      <c r="O794">
        <f>TBL_Employees[[#This Row],[Bonus %]]*TBL_Employees[[#This Row],[Annual Salary]]</f>
        <v>37374</v>
      </c>
      <c r="P794" t="str">
        <f>IF(TBL_Employees[[#This Row],[Age]]&gt;50,"Senior","Junior")</f>
        <v>Junior</v>
      </c>
      <c r="Q794" s="14" t="str">
        <f>IF(OR(D794="IT", J794&gt;100000), "YES", "NO")</f>
        <v>YES</v>
      </c>
      <c r="R794" s="14">
        <f>YEAR(TBL_Employees[[#This Row],[Hire Date]])</f>
        <v>2021</v>
      </c>
    </row>
    <row r="795" spans="1:18" x14ac:dyDescent="0.35">
      <c r="A795" t="s">
        <v>1608</v>
      </c>
      <c r="B795" t="s">
        <v>1609</v>
      </c>
      <c r="C795" t="s">
        <v>125</v>
      </c>
      <c r="D795" t="s">
        <v>49</v>
      </c>
      <c r="E795" t="s">
        <v>18</v>
      </c>
      <c r="F795" t="s">
        <v>27</v>
      </c>
      <c r="G795" t="s">
        <v>37</v>
      </c>
      <c r="H795">
        <v>37</v>
      </c>
      <c r="I795" s="5">
        <v>40291</v>
      </c>
      <c r="J795" s="11">
        <v>57531</v>
      </c>
      <c r="K795" s="6">
        <v>0</v>
      </c>
      <c r="L795" t="s">
        <v>21</v>
      </c>
      <c r="M795" t="s">
        <v>38</v>
      </c>
      <c r="N795" s="5" t="s">
        <v>31</v>
      </c>
      <c r="O795">
        <f>TBL_Employees[[#This Row],[Bonus %]]*TBL_Employees[[#This Row],[Annual Salary]]</f>
        <v>0</v>
      </c>
      <c r="P795" t="str">
        <f>IF(TBL_Employees[[#This Row],[Age]]&gt;50,"Senior","Junior")</f>
        <v>Junior</v>
      </c>
      <c r="Q795" s="14" t="str">
        <f>IF(OR(D795="IT", J795&gt;100000), "YES", "NO")</f>
        <v>NO</v>
      </c>
      <c r="R795" s="14">
        <f>YEAR(TBL_Employees[[#This Row],[Hire Date]])</f>
        <v>2010</v>
      </c>
    </row>
    <row r="796" spans="1:18" x14ac:dyDescent="0.35">
      <c r="A796" t="s">
        <v>1610</v>
      </c>
      <c r="B796" t="s">
        <v>1611</v>
      </c>
      <c r="C796" t="s">
        <v>56</v>
      </c>
      <c r="D796" t="s">
        <v>35</v>
      </c>
      <c r="E796" t="s">
        <v>18</v>
      </c>
      <c r="F796" t="s">
        <v>27</v>
      </c>
      <c r="G796" t="s">
        <v>28</v>
      </c>
      <c r="H796">
        <v>46</v>
      </c>
      <c r="I796" s="5">
        <v>40657</v>
      </c>
      <c r="J796" s="11">
        <v>55894</v>
      </c>
      <c r="K796" s="6">
        <v>0</v>
      </c>
      <c r="L796" t="s">
        <v>21</v>
      </c>
      <c r="M796" t="s">
        <v>22</v>
      </c>
      <c r="N796" s="5" t="s">
        <v>31</v>
      </c>
      <c r="O796">
        <f>TBL_Employees[[#This Row],[Bonus %]]*TBL_Employees[[#This Row],[Annual Salary]]</f>
        <v>0</v>
      </c>
      <c r="P796" t="str">
        <f>IF(TBL_Employees[[#This Row],[Age]]&gt;50,"Senior","Junior")</f>
        <v>Junior</v>
      </c>
      <c r="Q796" s="14" t="str">
        <f>IF(OR(D796="IT", J796&gt;100000), "YES", "NO")</f>
        <v>NO</v>
      </c>
      <c r="R796" s="14">
        <f>YEAR(TBL_Employees[[#This Row],[Hire Date]])</f>
        <v>2011</v>
      </c>
    </row>
    <row r="797" spans="1:18" x14ac:dyDescent="0.35">
      <c r="A797" t="s">
        <v>1612</v>
      </c>
      <c r="B797" t="s">
        <v>1613</v>
      </c>
      <c r="C797" t="s">
        <v>176</v>
      </c>
      <c r="D797" t="s">
        <v>70</v>
      </c>
      <c r="E797" t="s">
        <v>26</v>
      </c>
      <c r="F797" t="s">
        <v>19</v>
      </c>
      <c r="G797" t="s">
        <v>28</v>
      </c>
      <c r="H797">
        <v>42</v>
      </c>
      <c r="I797" s="5">
        <v>41026</v>
      </c>
      <c r="J797" s="11">
        <v>72903</v>
      </c>
      <c r="K797" s="6">
        <v>0</v>
      </c>
      <c r="L797" t="s">
        <v>21</v>
      </c>
      <c r="M797" t="s">
        <v>45</v>
      </c>
      <c r="N797" s="5" t="s">
        <v>31</v>
      </c>
      <c r="O797">
        <f>TBL_Employees[[#This Row],[Bonus %]]*TBL_Employees[[#This Row],[Annual Salary]]</f>
        <v>0</v>
      </c>
      <c r="P797" t="str">
        <f>IF(TBL_Employees[[#This Row],[Age]]&gt;50,"Senior","Junior")</f>
        <v>Junior</v>
      </c>
      <c r="Q797" s="14" t="str">
        <f>IF(OR(D797="IT", J797&gt;100000), "YES", "NO")</f>
        <v>NO</v>
      </c>
      <c r="R797" s="14">
        <f>YEAR(TBL_Employees[[#This Row],[Hire Date]])</f>
        <v>2012</v>
      </c>
    </row>
    <row r="798" spans="1:18" x14ac:dyDescent="0.35">
      <c r="A798" t="s">
        <v>472</v>
      </c>
      <c r="B798" t="s">
        <v>1614</v>
      </c>
      <c r="C798" t="s">
        <v>56</v>
      </c>
      <c r="D798" t="s">
        <v>35</v>
      </c>
      <c r="E798" t="s">
        <v>50</v>
      </c>
      <c r="F798" t="s">
        <v>27</v>
      </c>
      <c r="G798" t="s">
        <v>28</v>
      </c>
      <c r="H798">
        <v>37</v>
      </c>
      <c r="I798" s="5">
        <v>42317</v>
      </c>
      <c r="J798" s="11">
        <v>45369</v>
      </c>
      <c r="K798" s="6">
        <v>0</v>
      </c>
      <c r="L798" t="s">
        <v>29</v>
      </c>
      <c r="M798" t="s">
        <v>115</v>
      </c>
      <c r="N798" s="5" t="s">
        <v>31</v>
      </c>
      <c r="O798">
        <f>TBL_Employees[[#This Row],[Bonus %]]*TBL_Employees[[#This Row],[Annual Salary]]</f>
        <v>0</v>
      </c>
      <c r="P798" t="str">
        <f>IF(TBL_Employees[[#This Row],[Age]]&gt;50,"Senior","Junior")</f>
        <v>Junior</v>
      </c>
      <c r="Q798" s="14" t="str">
        <f>IF(OR(D798="IT", J798&gt;100000), "YES", "NO")</f>
        <v>NO</v>
      </c>
      <c r="R798" s="14">
        <f>YEAR(TBL_Employees[[#This Row],[Hire Date]])</f>
        <v>2015</v>
      </c>
    </row>
    <row r="799" spans="1:18" x14ac:dyDescent="0.35">
      <c r="A799" t="s">
        <v>1615</v>
      </c>
      <c r="B799" t="s">
        <v>1616</v>
      </c>
      <c r="C799" t="s">
        <v>53</v>
      </c>
      <c r="D799" t="s">
        <v>35</v>
      </c>
      <c r="E799" t="s">
        <v>36</v>
      </c>
      <c r="F799" t="s">
        <v>27</v>
      </c>
      <c r="G799" t="s">
        <v>37</v>
      </c>
      <c r="H799">
        <v>60</v>
      </c>
      <c r="I799" s="5">
        <v>40344</v>
      </c>
      <c r="J799" s="11">
        <v>106578</v>
      </c>
      <c r="K799" s="6">
        <v>0.09</v>
      </c>
      <c r="L799" t="s">
        <v>21</v>
      </c>
      <c r="M799" t="s">
        <v>57</v>
      </c>
      <c r="N799" s="5" t="s">
        <v>31</v>
      </c>
      <c r="O799">
        <f>TBL_Employees[[#This Row],[Bonus %]]*TBL_Employees[[#This Row],[Annual Salary]]</f>
        <v>9592.02</v>
      </c>
      <c r="P799" t="str">
        <f>IF(TBL_Employees[[#This Row],[Age]]&gt;50,"Senior","Junior")</f>
        <v>Senior</v>
      </c>
      <c r="Q799" s="14" t="str">
        <f>IF(OR(D799="IT", J799&gt;100000), "YES", "NO")</f>
        <v>YES</v>
      </c>
      <c r="R799" s="14">
        <f>YEAR(TBL_Employees[[#This Row],[Hire Date]])</f>
        <v>2010</v>
      </c>
    </row>
    <row r="800" spans="1:18" x14ac:dyDescent="0.35">
      <c r="A800" t="s">
        <v>1617</v>
      </c>
      <c r="B800" t="s">
        <v>1618</v>
      </c>
      <c r="C800" t="s">
        <v>144</v>
      </c>
      <c r="D800" t="s">
        <v>66</v>
      </c>
      <c r="E800" t="s">
        <v>18</v>
      </c>
      <c r="F800" t="s">
        <v>19</v>
      </c>
      <c r="G800" t="s">
        <v>86</v>
      </c>
      <c r="H800">
        <v>52</v>
      </c>
      <c r="I800" s="5">
        <v>36416</v>
      </c>
      <c r="J800" s="11">
        <v>92994</v>
      </c>
      <c r="K800" s="6">
        <v>0</v>
      </c>
      <c r="L800" t="s">
        <v>21</v>
      </c>
      <c r="M800" t="s">
        <v>38</v>
      </c>
      <c r="N800" s="5" t="s">
        <v>31</v>
      </c>
      <c r="O800">
        <f>TBL_Employees[[#This Row],[Bonus %]]*TBL_Employees[[#This Row],[Annual Salary]]</f>
        <v>0</v>
      </c>
      <c r="P800" t="str">
        <f>IF(TBL_Employees[[#This Row],[Age]]&gt;50,"Senior","Junior")</f>
        <v>Senior</v>
      </c>
      <c r="Q800" s="14" t="str">
        <f>IF(OR(D800="IT", J800&gt;100000), "YES", "NO")</f>
        <v>NO</v>
      </c>
      <c r="R800" s="14">
        <f>YEAR(TBL_Employees[[#This Row],[Hire Date]])</f>
        <v>1999</v>
      </c>
    </row>
    <row r="801" spans="1:18" x14ac:dyDescent="0.35">
      <c r="A801" t="s">
        <v>1619</v>
      </c>
      <c r="B801" t="s">
        <v>1620</v>
      </c>
      <c r="C801" t="s">
        <v>44</v>
      </c>
      <c r="D801" t="s">
        <v>49</v>
      </c>
      <c r="E801" t="s">
        <v>36</v>
      </c>
      <c r="F801" t="s">
        <v>27</v>
      </c>
      <c r="G801" t="s">
        <v>28</v>
      </c>
      <c r="H801">
        <v>59</v>
      </c>
      <c r="I801" s="5">
        <v>35502</v>
      </c>
      <c r="J801" s="11">
        <v>83685</v>
      </c>
      <c r="K801" s="6">
        <v>0</v>
      </c>
      <c r="L801" t="s">
        <v>29</v>
      </c>
      <c r="M801" t="s">
        <v>115</v>
      </c>
      <c r="N801" s="5" t="s">
        <v>31</v>
      </c>
      <c r="O801">
        <f>TBL_Employees[[#This Row],[Bonus %]]*TBL_Employees[[#This Row],[Annual Salary]]</f>
        <v>0</v>
      </c>
      <c r="P801" t="str">
        <f>IF(TBL_Employees[[#This Row],[Age]]&gt;50,"Senior","Junior")</f>
        <v>Senior</v>
      </c>
      <c r="Q801" s="14" t="str">
        <f>IF(OR(D801="IT", J801&gt;100000), "YES", "NO")</f>
        <v>NO</v>
      </c>
      <c r="R801" s="14">
        <f>YEAR(TBL_Employees[[#This Row],[Hire Date]])</f>
        <v>1997</v>
      </c>
    </row>
    <row r="802" spans="1:18" x14ac:dyDescent="0.35">
      <c r="A802" t="s">
        <v>303</v>
      </c>
      <c r="B802" t="s">
        <v>1621</v>
      </c>
      <c r="C802" t="s">
        <v>208</v>
      </c>
      <c r="D802" t="s">
        <v>17</v>
      </c>
      <c r="E802" t="s">
        <v>18</v>
      </c>
      <c r="F802" t="s">
        <v>27</v>
      </c>
      <c r="G802" t="s">
        <v>37</v>
      </c>
      <c r="H802">
        <v>48</v>
      </c>
      <c r="I802" s="5">
        <v>40435</v>
      </c>
      <c r="J802" s="11">
        <v>99335</v>
      </c>
      <c r="K802" s="6">
        <v>0</v>
      </c>
      <c r="L802" t="s">
        <v>21</v>
      </c>
      <c r="M802" t="s">
        <v>45</v>
      </c>
      <c r="N802" s="5" t="s">
        <v>31</v>
      </c>
      <c r="O802">
        <f>TBL_Employees[[#This Row],[Bonus %]]*TBL_Employees[[#This Row],[Annual Salary]]</f>
        <v>0</v>
      </c>
      <c r="P802" t="str">
        <f>IF(TBL_Employees[[#This Row],[Age]]&gt;50,"Senior","Junior")</f>
        <v>Junior</v>
      </c>
      <c r="Q802" s="14" t="str">
        <f>IF(OR(D802="IT", J802&gt;100000), "YES", "NO")</f>
        <v>YES</v>
      </c>
      <c r="R802" s="14">
        <f>YEAR(TBL_Employees[[#This Row],[Hire Date]])</f>
        <v>2010</v>
      </c>
    </row>
    <row r="803" spans="1:18" x14ac:dyDescent="0.35">
      <c r="A803" t="s">
        <v>1622</v>
      </c>
      <c r="B803" t="s">
        <v>1623</v>
      </c>
      <c r="C803" t="s">
        <v>16</v>
      </c>
      <c r="D803" t="s">
        <v>66</v>
      </c>
      <c r="E803" t="s">
        <v>26</v>
      </c>
      <c r="F803" t="s">
        <v>27</v>
      </c>
      <c r="G803" t="s">
        <v>37</v>
      </c>
      <c r="H803">
        <v>42</v>
      </c>
      <c r="I803" s="5">
        <v>41382</v>
      </c>
      <c r="J803" s="11">
        <v>131179</v>
      </c>
      <c r="K803" s="6">
        <v>0.15</v>
      </c>
      <c r="L803" t="s">
        <v>21</v>
      </c>
      <c r="M803" t="s">
        <v>89</v>
      </c>
      <c r="N803" s="5" t="s">
        <v>31</v>
      </c>
      <c r="O803">
        <f>TBL_Employees[[#This Row],[Bonus %]]*TBL_Employees[[#This Row],[Annual Salary]]</f>
        <v>19676.849999999999</v>
      </c>
      <c r="P803" t="str">
        <f>IF(TBL_Employees[[#This Row],[Age]]&gt;50,"Senior","Junior")</f>
        <v>Junior</v>
      </c>
      <c r="Q803" s="14" t="str">
        <f>IF(OR(D803="IT", J803&gt;100000), "YES", "NO")</f>
        <v>YES</v>
      </c>
      <c r="R803" s="14">
        <f>YEAR(TBL_Employees[[#This Row],[Hire Date]])</f>
        <v>2013</v>
      </c>
    </row>
    <row r="804" spans="1:18" x14ac:dyDescent="0.35">
      <c r="A804" t="s">
        <v>1624</v>
      </c>
      <c r="B804" t="s">
        <v>1625</v>
      </c>
      <c r="C804" t="s">
        <v>41</v>
      </c>
      <c r="D804" t="s">
        <v>17</v>
      </c>
      <c r="E804" t="s">
        <v>36</v>
      </c>
      <c r="F804" t="s">
        <v>27</v>
      </c>
      <c r="G804" t="s">
        <v>28</v>
      </c>
      <c r="H804">
        <v>35</v>
      </c>
      <c r="I804" s="5">
        <v>42493</v>
      </c>
      <c r="J804" s="11">
        <v>73899</v>
      </c>
      <c r="K804" s="6">
        <v>0.05</v>
      </c>
      <c r="L804" t="s">
        <v>29</v>
      </c>
      <c r="M804" t="s">
        <v>135</v>
      </c>
      <c r="N804" s="5" t="s">
        <v>31</v>
      </c>
      <c r="O804">
        <f>TBL_Employees[[#This Row],[Bonus %]]*TBL_Employees[[#This Row],[Annual Salary]]</f>
        <v>3694.9500000000003</v>
      </c>
      <c r="P804" t="str">
        <f>IF(TBL_Employees[[#This Row],[Age]]&gt;50,"Senior","Junior")</f>
        <v>Junior</v>
      </c>
      <c r="Q804" s="14" t="str">
        <f>IF(OR(D804="IT", J804&gt;100000), "YES", "NO")</f>
        <v>YES</v>
      </c>
      <c r="R804" s="14">
        <f>YEAR(TBL_Employees[[#This Row],[Hire Date]])</f>
        <v>2016</v>
      </c>
    </row>
    <row r="805" spans="1:18" x14ac:dyDescent="0.35">
      <c r="A805" t="s">
        <v>1626</v>
      </c>
      <c r="B805" t="s">
        <v>1627</v>
      </c>
      <c r="C805" t="s">
        <v>80</v>
      </c>
      <c r="D805" t="s">
        <v>60</v>
      </c>
      <c r="E805" t="s">
        <v>26</v>
      </c>
      <c r="F805" t="s">
        <v>27</v>
      </c>
      <c r="G805" t="s">
        <v>28</v>
      </c>
      <c r="H805">
        <v>64</v>
      </c>
      <c r="I805" s="5">
        <v>41362</v>
      </c>
      <c r="J805" s="11">
        <v>252325</v>
      </c>
      <c r="K805" s="6">
        <v>0.4</v>
      </c>
      <c r="L805" t="s">
        <v>21</v>
      </c>
      <c r="M805" t="s">
        <v>89</v>
      </c>
      <c r="N805" s="5" t="s">
        <v>31</v>
      </c>
      <c r="O805">
        <f>TBL_Employees[[#This Row],[Bonus %]]*TBL_Employees[[#This Row],[Annual Salary]]</f>
        <v>100930</v>
      </c>
      <c r="P805" t="str">
        <f>IF(TBL_Employees[[#This Row],[Age]]&gt;50,"Senior","Junior")</f>
        <v>Senior</v>
      </c>
      <c r="Q805" s="14" t="str">
        <f>IF(OR(D805="IT", J805&gt;100000), "YES", "NO")</f>
        <v>YES</v>
      </c>
      <c r="R805" s="14">
        <f>YEAR(TBL_Employees[[#This Row],[Hire Date]])</f>
        <v>2013</v>
      </c>
    </row>
    <row r="806" spans="1:18" x14ac:dyDescent="0.35">
      <c r="A806" t="s">
        <v>1628</v>
      </c>
      <c r="B806" t="s">
        <v>1629</v>
      </c>
      <c r="C806" t="s">
        <v>125</v>
      </c>
      <c r="D806" t="s">
        <v>35</v>
      </c>
      <c r="E806" t="s">
        <v>18</v>
      </c>
      <c r="F806" t="s">
        <v>19</v>
      </c>
      <c r="G806" t="s">
        <v>37</v>
      </c>
      <c r="H806">
        <v>30</v>
      </c>
      <c r="I806" s="5">
        <v>42068</v>
      </c>
      <c r="J806" s="11">
        <v>52697</v>
      </c>
      <c r="K806" s="6">
        <v>0</v>
      </c>
      <c r="L806" t="s">
        <v>21</v>
      </c>
      <c r="M806" t="s">
        <v>22</v>
      </c>
      <c r="N806" s="5" t="s">
        <v>31</v>
      </c>
      <c r="O806">
        <f>TBL_Employees[[#This Row],[Bonus %]]*TBL_Employees[[#This Row],[Annual Salary]]</f>
        <v>0</v>
      </c>
      <c r="P806" t="str">
        <f>IF(TBL_Employees[[#This Row],[Age]]&gt;50,"Senior","Junior")</f>
        <v>Junior</v>
      </c>
      <c r="Q806" s="14" t="str">
        <f>IF(OR(D806="IT", J806&gt;100000), "YES", "NO")</f>
        <v>NO</v>
      </c>
      <c r="R806" s="14">
        <f>YEAR(TBL_Employees[[#This Row],[Hire Date]])</f>
        <v>2015</v>
      </c>
    </row>
    <row r="807" spans="1:18" x14ac:dyDescent="0.35">
      <c r="A807" t="s">
        <v>1550</v>
      </c>
      <c r="B807" t="s">
        <v>1630</v>
      </c>
      <c r="C807" t="s">
        <v>182</v>
      </c>
      <c r="D807" t="s">
        <v>70</v>
      </c>
      <c r="E807" t="s">
        <v>36</v>
      </c>
      <c r="F807" t="s">
        <v>19</v>
      </c>
      <c r="G807" t="s">
        <v>86</v>
      </c>
      <c r="H807">
        <v>29</v>
      </c>
      <c r="I807" s="5">
        <v>44099</v>
      </c>
      <c r="J807" s="11">
        <v>123588</v>
      </c>
      <c r="K807" s="6">
        <v>0</v>
      </c>
      <c r="L807" t="s">
        <v>94</v>
      </c>
      <c r="M807" t="s">
        <v>219</v>
      </c>
      <c r="N807" s="5" t="s">
        <v>31</v>
      </c>
      <c r="O807">
        <f>TBL_Employees[[#This Row],[Bonus %]]*TBL_Employees[[#This Row],[Annual Salary]]</f>
        <v>0</v>
      </c>
      <c r="P807" t="str">
        <f>IF(TBL_Employees[[#This Row],[Age]]&gt;50,"Senior","Junior")</f>
        <v>Junior</v>
      </c>
      <c r="Q807" s="14" t="str">
        <f>IF(OR(D807="IT", J807&gt;100000), "YES", "NO")</f>
        <v>YES</v>
      </c>
      <c r="R807" s="14">
        <f>YEAR(TBL_Employees[[#This Row],[Hire Date]])</f>
        <v>2020</v>
      </c>
    </row>
    <row r="808" spans="1:18" x14ac:dyDescent="0.35">
      <c r="A808" t="s">
        <v>1631</v>
      </c>
      <c r="B808" t="s">
        <v>1632</v>
      </c>
      <c r="C808" t="s">
        <v>80</v>
      </c>
      <c r="D808" t="s">
        <v>60</v>
      </c>
      <c r="E808" t="s">
        <v>50</v>
      </c>
      <c r="F808" t="s">
        <v>19</v>
      </c>
      <c r="G808" t="s">
        <v>28</v>
      </c>
      <c r="H808">
        <v>47</v>
      </c>
      <c r="I808" s="5">
        <v>44556</v>
      </c>
      <c r="J808" s="11">
        <v>243568</v>
      </c>
      <c r="K808" s="6">
        <v>0.33</v>
      </c>
      <c r="L808" t="s">
        <v>21</v>
      </c>
      <c r="M808" t="s">
        <v>61</v>
      </c>
      <c r="N808" s="5" t="s">
        <v>31</v>
      </c>
      <c r="O808">
        <f>TBL_Employees[[#This Row],[Bonus %]]*TBL_Employees[[#This Row],[Annual Salary]]</f>
        <v>80377.440000000002</v>
      </c>
      <c r="P808" t="str">
        <f>IF(TBL_Employees[[#This Row],[Age]]&gt;50,"Senior","Junior")</f>
        <v>Junior</v>
      </c>
      <c r="Q808" s="14" t="str">
        <f>IF(OR(D808="IT", J808&gt;100000), "YES", "NO")</f>
        <v>YES</v>
      </c>
      <c r="R808" s="14">
        <f>YEAR(TBL_Employees[[#This Row],[Hire Date]])</f>
        <v>2021</v>
      </c>
    </row>
    <row r="809" spans="1:18" x14ac:dyDescent="0.35">
      <c r="A809" t="s">
        <v>1225</v>
      </c>
      <c r="B809" t="s">
        <v>1633</v>
      </c>
      <c r="C809" t="s">
        <v>34</v>
      </c>
      <c r="D809" t="s">
        <v>49</v>
      </c>
      <c r="E809" t="s">
        <v>18</v>
      </c>
      <c r="F809" t="s">
        <v>27</v>
      </c>
      <c r="G809" t="s">
        <v>28</v>
      </c>
      <c r="H809">
        <v>49</v>
      </c>
      <c r="I809" s="5">
        <v>37092</v>
      </c>
      <c r="J809" s="11">
        <v>199176</v>
      </c>
      <c r="K809" s="6">
        <v>0.24</v>
      </c>
      <c r="L809" t="s">
        <v>21</v>
      </c>
      <c r="M809" t="s">
        <v>45</v>
      </c>
      <c r="N809" s="5" t="s">
        <v>31</v>
      </c>
      <c r="O809">
        <f>TBL_Employees[[#This Row],[Bonus %]]*TBL_Employees[[#This Row],[Annual Salary]]</f>
        <v>47802.239999999998</v>
      </c>
      <c r="P809" t="str">
        <f>IF(TBL_Employees[[#This Row],[Age]]&gt;50,"Senior","Junior")</f>
        <v>Junior</v>
      </c>
      <c r="Q809" s="14" t="str">
        <f>IF(OR(D809="IT", J809&gt;100000), "YES", "NO")</f>
        <v>YES</v>
      </c>
      <c r="R809" s="14">
        <f>YEAR(TBL_Employees[[#This Row],[Hire Date]])</f>
        <v>2001</v>
      </c>
    </row>
    <row r="810" spans="1:18" x14ac:dyDescent="0.35">
      <c r="A810" t="s">
        <v>157</v>
      </c>
      <c r="B810" t="s">
        <v>1634</v>
      </c>
      <c r="C810" t="s">
        <v>25</v>
      </c>
      <c r="D810" t="s">
        <v>17</v>
      </c>
      <c r="E810" t="s">
        <v>36</v>
      </c>
      <c r="F810" t="s">
        <v>19</v>
      </c>
      <c r="G810" t="s">
        <v>28</v>
      </c>
      <c r="H810">
        <v>56</v>
      </c>
      <c r="I810" s="5">
        <v>35238</v>
      </c>
      <c r="J810" s="11">
        <v>82806</v>
      </c>
      <c r="K810" s="6">
        <v>0</v>
      </c>
      <c r="L810" t="s">
        <v>21</v>
      </c>
      <c r="M810" t="s">
        <v>22</v>
      </c>
      <c r="N810" s="5" t="s">
        <v>31</v>
      </c>
      <c r="O810">
        <f>TBL_Employees[[#This Row],[Bonus %]]*TBL_Employees[[#This Row],[Annual Salary]]</f>
        <v>0</v>
      </c>
      <c r="P810" t="str">
        <f>IF(TBL_Employees[[#This Row],[Age]]&gt;50,"Senior","Junior")</f>
        <v>Senior</v>
      </c>
      <c r="Q810" s="14" t="str">
        <f>IF(OR(D810="IT", J810&gt;100000), "YES", "NO")</f>
        <v>YES</v>
      </c>
      <c r="R810" s="14">
        <f>YEAR(TBL_Employees[[#This Row],[Hire Date]])</f>
        <v>1996</v>
      </c>
    </row>
    <row r="811" spans="1:18" x14ac:dyDescent="0.35">
      <c r="A811" t="s">
        <v>1635</v>
      </c>
      <c r="B811" t="s">
        <v>1636</v>
      </c>
      <c r="C811" t="s">
        <v>34</v>
      </c>
      <c r="D811" t="s">
        <v>81</v>
      </c>
      <c r="E811" t="s">
        <v>36</v>
      </c>
      <c r="F811" t="s">
        <v>19</v>
      </c>
      <c r="G811" t="s">
        <v>28</v>
      </c>
      <c r="H811">
        <v>53</v>
      </c>
      <c r="I811" s="5">
        <v>35601</v>
      </c>
      <c r="J811" s="11">
        <v>164399</v>
      </c>
      <c r="K811" s="6">
        <v>0.25</v>
      </c>
      <c r="L811" t="s">
        <v>21</v>
      </c>
      <c r="M811" t="s">
        <v>22</v>
      </c>
      <c r="N811" s="5" t="s">
        <v>31</v>
      </c>
      <c r="O811">
        <f>TBL_Employees[[#This Row],[Bonus %]]*TBL_Employees[[#This Row],[Annual Salary]]</f>
        <v>41099.75</v>
      </c>
      <c r="P811" t="str">
        <f>IF(TBL_Employees[[#This Row],[Age]]&gt;50,"Senior","Junior")</f>
        <v>Senior</v>
      </c>
      <c r="Q811" s="14" t="str">
        <f>IF(OR(D811="IT", J811&gt;100000), "YES", "NO")</f>
        <v>YES</v>
      </c>
      <c r="R811" s="14">
        <f>YEAR(TBL_Employees[[#This Row],[Hire Date]])</f>
        <v>1997</v>
      </c>
    </row>
    <row r="812" spans="1:18" x14ac:dyDescent="0.35">
      <c r="A812" t="s">
        <v>1637</v>
      </c>
      <c r="B812" t="s">
        <v>1638</v>
      </c>
      <c r="C812" t="s">
        <v>16</v>
      </c>
      <c r="D812" t="s">
        <v>66</v>
      </c>
      <c r="E812" t="s">
        <v>26</v>
      </c>
      <c r="F812" t="s">
        <v>19</v>
      </c>
      <c r="G812" t="s">
        <v>28</v>
      </c>
      <c r="H812">
        <v>32</v>
      </c>
      <c r="I812" s="5">
        <v>42839</v>
      </c>
      <c r="J812" s="11">
        <v>154956</v>
      </c>
      <c r="K812" s="6">
        <v>0.13</v>
      </c>
      <c r="L812" t="s">
        <v>21</v>
      </c>
      <c r="M812" t="s">
        <v>45</v>
      </c>
      <c r="N812" s="5" t="s">
        <v>31</v>
      </c>
      <c r="O812">
        <f>TBL_Employees[[#This Row],[Bonus %]]*TBL_Employees[[#This Row],[Annual Salary]]</f>
        <v>20144.280000000002</v>
      </c>
      <c r="P812" t="str">
        <f>IF(TBL_Employees[[#This Row],[Age]]&gt;50,"Senior","Junior")</f>
        <v>Junior</v>
      </c>
      <c r="Q812" s="14" t="str">
        <f>IF(OR(D812="IT", J812&gt;100000), "YES", "NO")</f>
        <v>YES</v>
      </c>
      <c r="R812" s="14">
        <f>YEAR(TBL_Employees[[#This Row],[Hire Date]])</f>
        <v>2017</v>
      </c>
    </row>
    <row r="813" spans="1:18" x14ac:dyDescent="0.35">
      <c r="A813" t="s">
        <v>1639</v>
      </c>
      <c r="B813" t="s">
        <v>1640</v>
      </c>
      <c r="C813" t="s">
        <v>16</v>
      </c>
      <c r="D813" t="s">
        <v>81</v>
      </c>
      <c r="E813" t="s">
        <v>26</v>
      </c>
      <c r="F813" t="s">
        <v>27</v>
      </c>
      <c r="G813" t="s">
        <v>28</v>
      </c>
      <c r="H813">
        <v>32</v>
      </c>
      <c r="I813" s="5">
        <v>42764</v>
      </c>
      <c r="J813" s="11">
        <v>143970</v>
      </c>
      <c r="K813" s="6">
        <v>0.12</v>
      </c>
      <c r="L813" t="s">
        <v>21</v>
      </c>
      <c r="M813" t="s">
        <v>22</v>
      </c>
      <c r="N813" s="5">
        <v>43078</v>
      </c>
      <c r="O813">
        <f>TBL_Employees[[#This Row],[Bonus %]]*TBL_Employees[[#This Row],[Annual Salary]]</f>
        <v>17276.399999999998</v>
      </c>
      <c r="P813" t="str">
        <f>IF(TBL_Employees[[#This Row],[Age]]&gt;50,"Senior","Junior")</f>
        <v>Junior</v>
      </c>
      <c r="Q813" s="14" t="str">
        <f>IF(OR(D813="IT", J813&gt;100000), "YES", "NO")</f>
        <v>YES</v>
      </c>
      <c r="R813" s="14">
        <f>YEAR(TBL_Employees[[#This Row],[Hire Date]])</f>
        <v>2017</v>
      </c>
    </row>
    <row r="814" spans="1:18" x14ac:dyDescent="0.35">
      <c r="A814" t="s">
        <v>1641</v>
      </c>
      <c r="B814" t="s">
        <v>1642</v>
      </c>
      <c r="C814" t="s">
        <v>34</v>
      </c>
      <c r="D814" t="s">
        <v>49</v>
      </c>
      <c r="E814" t="s">
        <v>50</v>
      </c>
      <c r="F814" t="s">
        <v>27</v>
      </c>
      <c r="G814" t="s">
        <v>86</v>
      </c>
      <c r="H814">
        <v>52</v>
      </c>
      <c r="I814" s="5">
        <v>44099</v>
      </c>
      <c r="J814" s="11">
        <v>163143</v>
      </c>
      <c r="K814" s="6">
        <v>0.28000000000000003</v>
      </c>
      <c r="L814" t="s">
        <v>94</v>
      </c>
      <c r="M814" t="s">
        <v>219</v>
      </c>
      <c r="N814" s="5" t="s">
        <v>31</v>
      </c>
      <c r="O814">
        <f>TBL_Employees[[#This Row],[Bonus %]]*TBL_Employees[[#This Row],[Annual Salary]]</f>
        <v>45680.04</v>
      </c>
      <c r="P814" t="str">
        <f>IF(TBL_Employees[[#This Row],[Age]]&gt;50,"Senior","Junior")</f>
        <v>Senior</v>
      </c>
      <c r="Q814" s="14" t="str">
        <f>IF(OR(D814="IT", J814&gt;100000), "YES", "NO")</f>
        <v>YES</v>
      </c>
      <c r="R814" s="14">
        <f>YEAR(TBL_Employees[[#This Row],[Hire Date]])</f>
        <v>2020</v>
      </c>
    </row>
    <row r="815" spans="1:18" x14ac:dyDescent="0.35">
      <c r="A815" t="s">
        <v>1643</v>
      </c>
      <c r="B815" t="s">
        <v>1644</v>
      </c>
      <c r="C815" t="s">
        <v>44</v>
      </c>
      <c r="D815" t="s">
        <v>60</v>
      </c>
      <c r="E815" t="s">
        <v>36</v>
      </c>
      <c r="F815" t="s">
        <v>19</v>
      </c>
      <c r="G815" t="s">
        <v>37</v>
      </c>
      <c r="H815">
        <v>38</v>
      </c>
      <c r="I815" s="5">
        <v>44036</v>
      </c>
      <c r="J815" s="11">
        <v>89390</v>
      </c>
      <c r="K815" s="6">
        <v>0</v>
      </c>
      <c r="L815" t="s">
        <v>21</v>
      </c>
      <c r="M815" t="s">
        <v>22</v>
      </c>
      <c r="N815" s="5" t="s">
        <v>31</v>
      </c>
      <c r="O815">
        <f>TBL_Employees[[#This Row],[Bonus %]]*TBL_Employees[[#This Row],[Annual Salary]]</f>
        <v>0</v>
      </c>
      <c r="P815" t="str">
        <f>IF(TBL_Employees[[#This Row],[Age]]&gt;50,"Senior","Junior")</f>
        <v>Junior</v>
      </c>
      <c r="Q815" s="14" t="str">
        <f>IF(OR(D815="IT", J815&gt;100000), "YES", "NO")</f>
        <v>NO</v>
      </c>
      <c r="R815" s="14">
        <f>YEAR(TBL_Employees[[#This Row],[Hire Date]])</f>
        <v>2020</v>
      </c>
    </row>
    <row r="816" spans="1:18" x14ac:dyDescent="0.35">
      <c r="A816" t="s">
        <v>1645</v>
      </c>
      <c r="B816" t="s">
        <v>1646</v>
      </c>
      <c r="C816" t="s">
        <v>249</v>
      </c>
      <c r="D816" t="s">
        <v>17</v>
      </c>
      <c r="E816" t="s">
        <v>26</v>
      </c>
      <c r="F816" t="s">
        <v>27</v>
      </c>
      <c r="G816" t="s">
        <v>37</v>
      </c>
      <c r="H816">
        <v>41</v>
      </c>
      <c r="I816" s="5">
        <v>43013</v>
      </c>
      <c r="J816" s="11">
        <v>67468</v>
      </c>
      <c r="K816" s="6">
        <v>0</v>
      </c>
      <c r="L816" t="s">
        <v>21</v>
      </c>
      <c r="M816" t="s">
        <v>57</v>
      </c>
      <c r="N816" s="5" t="s">
        <v>31</v>
      </c>
      <c r="O816">
        <f>TBL_Employees[[#This Row],[Bonus %]]*TBL_Employees[[#This Row],[Annual Salary]]</f>
        <v>0</v>
      </c>
      <c r="P816" t="str">
        <f>IF(TBL_Employees[[#This Row],[Age]]&gt;50,"Senior","Junior")</f>
        <v>Junior</v>
      </c>
      <c r="Q816" s="14" t="str">
        <f>IF(OR(D816="IT", J816&gt;100000), "YES", "NO")</f>
        <v>YES</v>
      </c>
      <c r="R816" s="14">
        <f>YEAR(TBL_Employees[[#This Row],[Hire Date]])</f>
        <v>2017</v>
      </c>
    </row>
    <row r="817" spans="1:18" x14ac:dyDescent="0.35">
      <c r="A817" t="s">
        <v>1647</v>
      </c>
      <c r="B817" t="s">
        <v>1648</v>
      </c>
      <c r="C817" t="s">
        <v>114</v>
      </c>
      <c r="D817" t="s">
        <v>70</v>
      </c>
      <c r="E817" t="s">
        <v>26</v>
      </c>
      <c r="F817" t="s">
        <v>19</v>
      </c>
      <c r="G817" t="s">
        <v>86</v>
      </c>
      <c r="H817">
        <v>49</v>
      </c>
      <c r="I817" s="5">
        <v>42441</v>
      </c>
      <c r="J817" s="11">
        <v>100810</v>
      </c>
      <c r="K817" s="6">
        <v>0.12</v>
      </c>
      <c r="L817" t="s">
        <v>94</v>
      </c>
      <c r="M817" t="s">
        <v>100</v>
      </c>
      <c r="N817" s="5" t="s">
        <v>31</v>
      </c>
      <c r="O817">
        <f>TBL_Employees[[#This Row],[Bonus %]]*TBL_Employees[[#This Row],[Annual Salary]]</f>
        <v>12097.199999999999</v>
      </c>
      <c r="P817" t="str">
        <f>IF(TBL_Employees[[#This Row],[Age]]&gt;50,"Senior","Junior")</f>
        <v>Junior</v>
      </c>
      <c r="Q817" s="14" t="str">
        <f>IF(OR(D817="IT", J817&gt;100000), "YES", "NO")</f>
        <v>YES</v>
      </c>
      <c r="R817" s="14">
        <f>YEAR(TBL_Employees[[#This Row],[Hire Date]])</f>
        <v>2016</v>
      </c>
    </row>
    <row r="818" spans="1:18" x14ac:dyDescent="0.35">
      <c r="A818" t="s">
        <v>1649</v>
      </c>
      <c r="B818" t="s">
        <v>1650</v>
      </c>
      <c r="C818" t="s">
        <v>44</v>
      </c>
      <c r="D818" t="s">
        <v>35</v>
      </c>
      <c r="E818" t="s">
        <v>26</v>
      </c>
      <c r="F818" t="s">
        <v>19</v>
      </c>
      <c r="G818" t="s">
        <v>28</v>
      </c>
      <c r="H818">
        <v>35</v>
      </c>
      <c r="I818" s="5">
        <v>43542</v>
      </c>
      <c r="J818" s="11">
        <v>74779</v>
      </c>
      <c r="K818" s="6">
        <v>0</v>
      </c>
      <c r="L818" t="s">
        <v>21</v>
      </c>
      <c r="M818" t="s">
        <v>45</v>
      </c>
      <c r="N818" s="5" t="s">
        <v>31</v>
      </c>
      <c r="O818">
        <f>TBL_Employees[[#This Row],[Bonus %]]*TBL_Employees[[#This Row],[Annual Salary]]</f>
        <v>0</v>
      </c>
      <c r="P818" t="str">
        <f>IF(TBL_Employees[[#This Row],[Age]]&gt;50,"Senior","Junior")</f>
        <v>Junior</v>
      </c>
      <c r="Q818" s="14" t="str">
        <f>IF(OR(D818="IT", J818&gt;100000), "YES", "NO")</f>
        <v>NO</v>
      </c>
      <c r="R818" s="14">
        <f>YEAR(TBL_Employees[[#This Row],[Hire Date]])</f>
        <v>2019</v>
      </c>
    </row>
    <row r="819" spans="1:18" x14ac:dyDescent="0.35">
      <c r="A819" t="s">
        <v>648</v>
      </c>
      <c r="B819" t="s">
        <v>1651</v>
      </c>
      <c r="C819" t="s">
        <v>252</v>
      </c>
      <c r="D819" t="s">
        <v>17</v>
      </c>
      <c r="E819" t="s">
        <v>50</v>
      </c>
      <c r="F819" t="s">
        <v>19</v>
      </c>
      <c r="G819" t="s">
        <v>28</v>
      </c>
      <c r="H819">
        <v>29</v>
      </c>
      <c r="I819" s="5">
        <v>43048</v>
      </c>
      <c r="J819" s="11">
        <v>63985</v>
      </c>
      <c r="K819" s="6">
        <v>0</v>
      </c>
      <c r="L819" t="s">
        <v>21</v>
      </c>
      <c r="M819" t="s">
        <v>57</v>
      </c>
      <c r="N819" s="5" t="s">
        <v>31</v>
      </c>
      <c r="O819">
        <f>TBL_Employees[[#This Row],[Bonus %]]*TBL_Employees[[#This Row],[Annual Salary]]</f>
        <v>0</v>
      </c>
      <c r="P819" t="str">
        <f>IF(TBL_Employees[[#This Row],[Age]]&gt;50,"Senior","Junior")</f>
        <v>Junior</v>
      </c>
      <c r="Q819" s="14" t="str">
        <f>IF(OR(D819="IT", J819&gt;100000), "YES", "NO")</f>
        <v>YES</v>
      </c>
      <c r="R819" s="14">
        <f>YEAR(TBL_Employees[[#This Row],[Hire Date]])</f>
        <v>2017</v>
      </c>
    </row>
    <row r="820" spans="1:18" x14ac:dyDescent="0.35">
      <c r="A820" t="s">
        <v>1652</v>
      </c>
      <c r="B820" t="s">
        <v>1653</v>
      </c>
      <c r="C820" t="s">
        <v>373</v>
      </c>
      <c r="D820" t="s">
        <v>17</v>
      </c>
      <c r="E820" t="s">
        <v>26</v>
      </c>
      <c r="F820" t="s">
        <v>19</v>
      </c>
      <c r="G820" t="s">
        <v>37</v>
      </c>
      <c r="H820">
        <v>64</v>
      </c>
      <c r="I820" s="5">
        <v>38176</v>
      </c>
      <c r="J820" s="11">
        <v>77903</v>
      </c>
      <c r="K820" s="6">
        <v>0</v>
      </c>
      <c r="L820" t="s">
        <v>21</v>
      </c>
      <c r="M820" t="s">
        <v>22</v>
      </c>
      <c r="N820" s="5" t="s">
        <v>31</v>
      </c>
      <c r="O820">
        <f>TBL_Employees[[#This Row],[Bonus %]]*TBL_Employees[[#This Row],[Annual Salary]]</f>
        <v>0</v>
      </c>
      <c r="P820" t="str">
        <f>IF(TBL_Employees[[#This Row],[Age]]&gt;50,"Senior","Junior")</f>
        <v>Senior</v>
      </c>
      <c r="Q820" s="14" t="str">
        <f>IF(OR(D820="IT", J820&gt;100000), "YES", "NO")</f>
        <v>YES</v>
      </c>
      <c r="R820" s="14">
        <f>YEAR(TBL_Employees[[#This Row],[Hire Date]])</f>
        <v>2004</v>
      </c>
    </row>
    <row r="821" spans="1:18" x14ac:dyDescent="0.35">
      <c r="A821" t="s">
        <v>1654</v>
      </c>
      <c r="B821" t="s">
        <v>1655</v>
      </c>
      <c r="C821" t="s">
        <v>34</v>
      </c>
      <c r="D821" t="s">
        <v>81</v>
      </c>
      <c r="E821" t="s">
        <v>50</v>
      </c>
      <c r="F821" t="s">
        <v>27</v>
      </c>
      <c r="G821" t="s">
        <v>37</v>
      </c>
      <c r="H821">
        <v>33</v>
      </c>
      <c r="I821" s="5">
        <v>42898</v>
      </c>
      <c r="J821" s="11">
        <v>164396</v>
      </c>
      <c r="K821" s="6">
        <v>0.28999999999999998</v>
      </c>
      <c r="L821" t="s">
        <v>21</v>
      </c>
      <c r="M821" t="s">
        <v>89</v>
      </c>
      <c r="N821" s="5" t="s">
        <v>31</v>
      </c>
      <c r="O821">
        <f>TBL_Employees[[#This Row],[Bonus %]]*TBL_Employees[[#This Row],[Annual Salary]]</f>
        <v>47674.84</v>
      </c>
      <c r="P821" t="str">
        <f>IF(TBL_Employees[[#This Row],[Age]]&gt;50,"Senior","Junior")</f>
        <v>Junior</v>
      </c>
      <c r="Q821" s="14" t="str">
        <f>IF(OR(D821="IT", J821&gt;100000), "YES", "NO")</f>
        <v>YES</v>
      </c>
      <c r="R821" s="14">
        <f>YEAR(TBL_Employees[[#This Row],[Hire Date]])</f>
        <v>2017</v>
      </c>
    </row>
    <row r="822" spans="1:18" x14ac:dyDescent="0.35">
      <c r="A822" t="s">
        <v>1656</v>
      </c>
      <c r="B822" t="s">
        <v>1657</v>
      </c>
      <c r="C822" t="s">
        <v>443</v>
      </c>
      <c r="D822" t="s">
        <v>17</v>
      </c>
      <c r="E822" t="s">
        <v>50</v>
      </c>
      <c r="F822" t="s">
        <v>27</v>
      </c>
      <c r="G822" t="s">
        <v>28</v>
      </c>
      <c r="H822">
        <v>29</v>
      </c>
      <c r="I822" s="5">
        <v>44375</v>
      </c>
      <c r="J822" s="11">
        <v>71234</v>
      </c>
      <c r="K822" s="6">
        <v>0</v>
      </c>
      <c r="L822" t="s">
        <v>21</v>
      </c>
      <c r="M822" t="s">
        <v>22</v>
      </c>
      <c r="N822" s="5" t="s">
        <v>31</v>
      </c>
      <c r="O822">
        <f>TBL_Employees[[#This Row],[Bonus %]]*TBL_Employees[[#This Row],[Annual Salary]]</f>
        <v>0</v>
      </c>
      <c r="P822" t="str">
        <f>IF(TBL_Employees[[#This Row],[Age]]&gt;50,"Senior","Junior")</f>
        <v>Junior</v>
      </c>
      <c r="Q822" s="14" t="str">
        <f>IF(OR(D822="IT", J822&gt;100000), "YES", "NO")</f>
        <v>YES</v>
      </c>
      <c r="R822" s="14">
        <f>YEAR(TBL_Employees[[#This Row],[Hire Date]])</f>
        <v>2021</v>
      </c>
    </row>
    <row r="823" spans="1:18" x14ac:dyDescent="0.35">
      <c r="A823" t="s">
        <v>1658</v>
      </c>
      <c r="B823" t="s">
        <v>1659</v>
      </c>
      <c r="C823" t="s">
        <v>53</v>
      </c>
      <c r="D823" t="s">
        <v>35</v>
      </c>
      <c r="E823" t="s">
        <v>50</v>
      </c>
      <c r="F823" t="s">
        <v>27</v>
      </c>
      <c r="G823" t="s">
        <v>28</v>
      </c>
      <c r="H823">
        <v>63</v>
      </c>
      <c r="I823" s="5">
        <v>38096</v>
      </c>
      <c r="J823" s="11">
        <v>122487</v>
      </c>
      <c r="K823" s="6">
        <v>0.08</v>
      </c>
      <c r="L823" t="s">
        <v>29</v>
      </c>
      <c r="M823" t="s">
        <v>75</v>
      </c>
      <c r="N823" s="5" t="s">
        <v>31</v>
      </c>
      <c r="O823">
        <f>TBL_Employees[[#This Row],[Bonus %]]*TBL_Employees[[#This Row],[Annual Salary]]</f>
        <v>9798.9600000000009</v>
      </c>
      <c r="P823" t="str">
        <f>IF(TBL_Employees[[#This Row],[Age]]&gt;50,"Senior","Junior")</f>
        <v>Senior</v>
      </c>
      <c r="Q823" s="14" t="str">
        <f>IF(OR(D823="IT", J823&gt;100000), "YES", "NO")</f>
        <v>YES</v>
      </c>
      <c r="R823" s="14">
        <f>YEAR(TBL_Employees[[#This Row],[Hire Date]])</f>
        <v>2004</v>
      </c>
    </row>
    <row r="824" spans="1:18" x14ac:dyDescent="0.35">
      <c r="A824" t="s">
        <v>1660</v>
      </c>
      <c r="B824" t="s">
        <v>1661</v>
      </c>
      <c r="C824" t="s">
        <v>53</v>
      </c>
      <c r="D824" t="s">
        <v>66</v>
      </c>
      <c r="E824" t="s">
        <v>36</v>
      </c>
      <c r="F824" t="s">
        <v>19</v>
      </c>
      <c r="G824" t="s">
        <v>28</v>
      </c>
      <c r="H824">
        <v>32</v>
      </c>
      <c r="I824" s="5">
        <v>42738</v>
      </c>
      <c r="J824" s="11">
        <v>101870</v>
      </c>
      <c r="K824" s="6">
        <v>0.1</v>
      </c>
      <c r="L824" t="s">
        <v>21</v>
      </c>
      <c r="M824" t="s">
        <v>45</v>
      </c>
      <c r="N824" s="5" t="s">
        <v>31</v>
      </c>
      <c r="O824">
        <f>TBL_Employees[[#This Row],[Bonus %]]*TBL_Employees[[#This Row],[Annual Salary]]</f>
        <v>10187</v>
      </c>
      <c r="P824" t="str">
        <f>IF(TBL_Employees[[#This Row],[Age]]&gt;50,"Senior","Junior")</f>
        <v>Junior</v>
      </c>
      <c r="Q824" s="14" t="str">
        <f>IF(OR(D824="IT", J824&gt;100000), "YES", "NO")</f>
        <v>YES</v>
      </c>
      <c r="R824" s="14">
        <f>YEAR(TBL_Employees[[#This Row],[Hire Date]])</f>
        <v>2017</v>
      </c>
    </row>
    <row r="825" spans="1:18" x14ac:dyDescent="0.35">
      <c r="A825" t="s">
        <v>1662</v>
      </c>
      <c r="B825" t="s">
        <v>1663</v>
      </c>
      <c r="C825" t="s">
        <v>331</v>
      </c>
      <c r="D825" t="s">
        <v>17</v>
      </c>
      <c r="E825" t="s">
        <v>18</v>
      </c>
      <c r="F825" t="s">
        <v>27</v>
      </c>
      <c r="G825" t="s">
        <v>86</v>
      </c>
      <c r="H825">
        <v>64</v>
      </c>
      <c r="I825" s="5">
        <v>44009</v>
      </c>
      <c r="J825" s="11">
        <v>40316</v>
      </c>
      <c r="K825" s="6">
        <v>0</v>
      </c>
      <c r="L825" t="s">
        <v>94</v>
      </c>
      <c r="M825" t="s">
        <v>95</v>
      </c>
      <c r="N825" s="5" t="s">
        <v>31</v>
      </c>
      <c r="O825">
        <f>TBL_Employees[[#This Row],[Bonus %]]*TBL_Employees[[#This Row],[Annual Salary]]</f>
        <v>0</v>
      </c>
      <c r="P825" t="str">
        <f>IF(TBL_Employees[[#This Row],[Age]]&gt;50,"Senior","Junior")</f>
        <v>Senior</v>
      </c>
      <c r="Q825" s="14" t="str">
        <f>IF(OR(D825="IT", J825&gt;100000), "YES", "NO")</f>
        <v>YES</v>
      </c>
      <c r="R825" s="14">
        <f>YEAR(TBL_Employees[[#This Row],[Hire Date]])</f>
        <v>2020</v>
      </c>
    </row>
    <row r="826" spans="1:18" x14ac:dyDescent="0.35">
      <c r="A826" t="s">
        <v>1664</v>
      </c>
      <c r="B826" t="s">
        <v>1665</v>
      </c>
      <c r="C826" t="s">
        <v>53</v>
      </c>
      <c r="D826" t="s">
        <v>17</v>
      </c>
      <c r="E826" t="s">
        <v>18</v>
      </c>
      <c r="F826" t="s">
        <v>19</v>
      </c>
      <c r="G826" t="s">
        <v>28</v>
      </c>
      <c r="H826">
        <v>55</v>
      </c>
      <c r="I826" s="5">
        <v>38391</v>
      </c>
      <c r="J826" s="11">
        <v>115145</v>
      </c>
      <c r="K826" s="6">
        <v>0.05</v>
      </c>
      <c r="L826" t="s">
        <v>29</v>
      </c>
      <c r="M826" t="s">
        <v>30</v>
      </c>
      <c r="N826" s="5" t="s">
        <v>31</v>
      </c>
      <c r="O826">
        <f>TBL_Employees[[#This Row],[Bonus %]]*TBL_Employees[[#This Row],[Annual Salary]]</f>
        <v>5757.25</v>
      </c>
      <c r="P826" t="str">
        <f>IF(TBL_Employees[[#This Row],[Age]]&gt;50,"Senior","Junior")</f>
        <v>Senior</v>
      </c>
      <c r="Q826" s="14" t="str">
        <f>IF(OR(D826="IT", J826&gt;100000), "YES", "NO")</f>
        <v>YES</v>
      </c>
      <c r="R826" s="14">
        <f>YEAR(TBL_Employees[[#This Row],[Hire Date]])</f>
        <v>2005</v>
      </c>
    </row>
    <row r="827" spans="1:18" x14ac:dyDescent="0.35">
      <c r="A827" t="s">
        <v>1666</v>
      </c>
      <c r="B827" t="s">
        <v>1667</v>
      </c>
      <c r="C827" t="s">
        <v>208</v>
      </c>
      <c r="D827" t="s">
        <v>17</v>
      </c>
      <c r="E827" t="s">
        <v>26</v>
      </c>
      <c r="F827" t="s">
        <v>19</v>
      </c>
      <c r="G827" t="s">
        <v>86</v>
      </c>
      <c r="H827">
        <v>43</v>
      </c>
      <c r="I827" s="5">
        <v>39885</v>
      </c>
      <c r="J827" s="11">
        <v>62335</v>
      </c>
      <c r="K827" s="6">
        <v>0</v>
      </c>
      <c r="L827" t="s">
        <v>94</v>
      </c>
      <c r="M827" t="s">
        <v>95</v>
      </c>
      <c r="N827" s="5" t="s">
        <v>31</v>
      </c>
      <c r="O827">
        <f>TBL_Employees[[#This Row],[Bonus %]]*TBL_Employees[[#This Row],[Annual Salary]]</f>
        <v>0</v>
      </c>
      <c r="P827" t="str">
        <f>IF(TBL_Employees[[#This Row],[Age]]&gt;50,"Senior","Junior")</f>
        <v>Junior</v>
      </c>
      <c r="Q827" s="14" t="str">
        <f>IF(OR(D827="IT", J827&gt;100000), "YES", "NO")</f>
        <v>YES</v>
      </c>
      <c r="R827" s="14">
        <f>YEAR(TBL_Employees[[#This Row],[Hire Date]])</f>
        <v>2009</v>
      </c>
    </row>
    <row r="828" spans="1:18" x14ac:dyDescent="0.35">
      <c r="A828" t="s">
        <v>1668</v>
      </c>
      <c r="B828" t="s">
        <v>1669</v>
      </c>
      <c r="C828" t="s">
        <v>56</v>
      </c>
      <c r="D828" t="s">
        <v>35</v>
      </c>
      <c r="E828" t="s">
        <v>26</v>
      </c>
      <c r="F828" t="s">
        <v>27</v>
      </c>
      <c r="G828" t="s">
        <v>28</v>
      </c>
      <c r="H828">
        <v>56</v>
      </c>
      <c r="I828" s="5">
        <v>38847</v>
      </c>
      <c r="J828" s="11">
        <v>41561</v>
      </c>
      <c r="K828" s="6">
        <v>0</v>
      </c>
      <c r="L828" t="s">
        <v>21</v>
      </c>
      <c r="M828" t="s">
        <v>61</v>
      </c>
      <c r="N828" s="5" t="s">
        <v>31</v>
      </c>
      <c r="O828">
        <f>TBL_Employees[[#This Row],[Bonus %]]*TBL_Employees[[#This Row],[Annual Salary]]</f>
        <v>0</v>
      </c>
      <c r="P828" t="str">
        <f>IF(TBL_Employees[[#This Row],[Age]]&gt;50,"Senior","Junior")</f>
        <v>Senior</v>
      </c>
      <c r="Q828" s="14" t="str">
        <f>IF(OR(D828="IT", J828&gt;100000), "YES", "NO")</f>
        <v>NO</v>
      </c>
      <c r="R828" s="14">
        <f>YEAR(TBL_Employees[[#This Row],[Hire Date]])</f>
        <v>2006</v>
      </c>
    </row>
    <row r="829" spans="1:18" x14ac:dyDescent="0.35">
      <c r="A829" t="s">
        <v>1670</v>
      </c>
      <c r="B829" t="s">
        <v>1671</v>
      </c>
      <c r="C829" t="s">
        <v>16</v>
      </c>
      <c r="D829" t="s">
        <v>35</v>
      </c>
      <c r="E829" t="s">
        <v>36</v>
      </c>
      <c r="F829" t="s">
        <v>19</v>
      </c>
      <c r="G829" t="s">
        <v>28</v>
      </c>
      <c r="H829">
        <v>37</v>
      </c>
      <c r="I829" s="5">
        <v>40657</v>
      </c>
      <c r="J829" s="11">
        <v>131183</v>
      </c>
      <c r="K829" s="6">
        <v>0.14000000000000001</v>
      </c>
      <c r="L829" t="s">
        <v>29</v>
      </c>
      <c r="M829" t="s">
        <v>75</v>
      </c>
      <c r="N829" s="5">
        <v>42445</v>
      </c>
      <c r="O829">
        <f>TBL_Employees[[#This Row],[Bonus %]]*TBL_Employees[[#This Row],[Annual Salary]]</f>
        <v>18365.620000000003</v>
      </c>
      <c r="P829" t="str">
        <f>IF(TBL_Employees[[#This Row],[Age]]&gt;50,"Senior","Junior")</f>
        <v>Junior</v>
      </c>
      <c r="Q829" s="14" t="str">
        <f>IF(OR(D829="IT", J829&gt;100000), "YES", "NO")</f>
        <v>YES</v>
      </c>
      <c r="R829" s="14">
        <f>YEAR(TBL_Employees[[#This Row],[Hire Date]])</f>
        <v>2011</v>
      </c>
    </row>
    <row r="830" spans="1:18" x14ac:dyDescent="0.35">
      <c r="A830" t="s">
        <v>949</v>
      </c>
      <c r="B830" t="s">
        <v>1672</v>
      </c>
      <c r="C830" t="s">
        <v>25</v>
      </c>
      <c r="D830" t="s">
        <v>17</v>
      </c>
      <c r="E830" t="s">
        <v>26</v>
      </c>
      <c r="F830" t="s">
        <v>19</v>
      </c>
      <c r="G830" t="s">
        <v>28</v>
      </c>
      <c r="H830">
        <v>45</v>
      </c>
      <c r="I830" s="5">
        <v>37445</v>
      </c>
      <c r="J830" s="11">
        <v>92655</v>
      </c>
      <c r="K830" s="6">
        <v>0</v>
      </c>
      <c r="L830" t="s">
        <v>29</v>
      </c>
      <c r="M830" t="s">
        <v>135</v>
      </c>
      <c r="N830" s="5" t="s">
        <v>31</v>
      </c>
      <c r="O830">
        <f>TBL_Employees[[#This Row],[Bonus %]]*TBL_Employees[[#This Row],[Annual Salary]]</f>
        <v>0</v>
      </c>
      <c r="P830" t="str">
        <f>IF(TBL_Employees[[#This Row],[Age]]&gt;50,"Senior","Junior")</f>
        <v>Junior</v>
      </c>
      <c r="Q830" s="14" t="str">
        <f>IF(OR(D830="IT", J830&gt;100000), "YES", "NO")</f>
        <v>YES</v>
      </c>
      <c r="R830" s="14">
        <f>YEAR(TBL_Employees[[#This Row],[Hire Date]])</f>
        <v>2002</v>
      </c>
    </row>
    <row r="831" spans="1:18" x14ac:dyDescent="0.35">
      <c r="A831" t="s">
        <v>1510</v>
      </c>
      <c r="B831" t="s">
        <v>1673</v>
      </c>
      <c r="C831" t="s">
        <v>16</v>
      </c>
      <c r="D831" t="s">
        <v>49</v>
      </c>
      <c r="E831" t="s">
        <v>26</v>
      </c>
      <c r="F831" t="s">
        <v>19</v>
      </c>
      <c r="G831" t="s">
        <v>86</v>
      </c>
      <c r="H831">
        <v>49</v>
      </c>
      <c r="I831" s="5">
        <v>35157</v>
      </c>
      <c r="J831" s="11">
        <v>157057</v>
      </c>
      <c r="K831" s="6">
        <v>0.12</v>
      </c>
      <c r="L831" t="s">
        <v>21</v>
      </c>
      <c r="M831" t="s">
        <v>57</v>
      </c>
      <c r="N831" s="5" t="s">
        <v>31</v>
      </c>
      <c r="O831">
        <f>TBL_Employees[[#This Row],[Bonus %]]*TBL_Employees[[#This Row],[Annual Salary]]</f>
        <v>18846.84</v>
      </c>
      <c r="P831" t="str">
        <f>IF(TBL_Employees[[#This Row],[Age]]&gt;50,"Senior","Junior")</f>
        <v>Junior</v>
      </c>
      <c r="Q831" s="14" t="str">
        <f>IF(OR(D831="IT", J831&gt;100000), "YES", "NO")</f>
        <v>YES</v>
      </c>
      <c r="R831" s="14">
        <f>YEAR(TBL_Employees[[#This Row],[Hire Date]])</f>
        <v>1996</v>
      </c>
    </row>
    <row r="832" spans="1:18" x14ac:dyDescent="0.35">
      <c r="A832" t="s">
        <v>1674</v>
      </c>
      <c r="B832" t="s">
        <v>1675</v>
      </c>
      <c r="C832" t="s">
        <v>132</v>
      </c>
      <c r="D832" t="s">
        <v>17</v>
      </c>
      <c r="E832" t="s">
        <v>36</v>
      </c>
      <c r="F832" t="s">
        <v>19</v>
      </c>
      <c r="G832" t="s">
        <v>37</v>
      </c>
      <c r="H832">
        <v>61</v>
      </c>
      <c r="I832" s="5">
        <v>38392</v>
      </c>
      <c r="J832" s="11">
        <v>64462</v>
      </c>
      <c r="K832" s="6">
        <v>0</v>
      </c>
      <c r="L832" t="s">
        <v>21</v>
      </c>
      <c r="M832" t="s">
        <v>38</v>
      </c>
      <c r="N832" s="5" t="s">
        <v>31</v>
      </c>
      <c r="O832">
        <f>TBL_Employees[[#This Row],[Bonus %]]*TBL_Employees[[#This Row],[Annual Salary]]</f>
        <v>0</v>
      </c>
      <c r="P832" t="str">
        <f>IF(TBL_Employees[[#This Row],[Age]]&gt;50,"Senior","Junior")</f>
        <v>Senior</v>
      </c>
      <c r="Q832" s="14" t="str">
        <f>IF(OR(D832="IT", J832&gt;100000), "YES", "NO")</f>
        <v>YES</v>
      </c>
      <c r="R832" s="14">
        <f>YEAR(TBL_Employees[[#This Row],[Hire Date]])</f>
        <v>2005</v>
      </c>
    </row>
    <row r="833" spans="1:18" x14ac:dyDescent="0.35">
      <c r="A833" t="s">
        <v>1676</v>
      </c>
      <c r="B833" t="s">
        <v>1677</v>
      </c>
      <c r="C833" t="s">
        <v>109</v>
      </c>
      <c r="D833" t="s">
        <v>70</v>
      </c>
      <c r="E833" t="s">
        <v>50</v>
      </c>
      <c r="F833" t="s">
        <v>19</v>
      </c>
      <c r="G833" t="s">
        <v>37</v>
      </c>
      <c r="H833">
        <v>41</v>
      </c>
      <c r="I833" s="5">
        <v>38632</v>
      </c>
      <c r="J833" s="11">
        <v>79352</v>
      </c>
      <c r="K833" s="6">
        <v>0</v>
      </c>
      <c r="L833" t="s">
        <v>21</v>
      </c>
      <c r="M833" t="s">
        <v>22</v>
      </c>
      <c r="N833" s="5" t="s">
        <v>31</v>
      </c>
      <c r="O833">
        <f>TBL_Employees[[#This Row],[Bonus %]]*TBL_Employees[[#This Row],[Annual Salary]]</f>
        <v>0</v>
      </c>
      <c r="P833" t="str">
        <f>IF(TBL_Employees[[#This Row],[Age]]&gt;50,"Senior","Junior")</f>
        <v>Junior</v>
      </c>
      <c r="Q833" s="14" t="str">
        <f>IF(OR(D833="IT", J833&gt;100000), "YES", "NO")</f>
        <v>NO</v>
      </c>
      <c r="R833" s="14">
        <f>YEAR(TBL_Employees[[#This Row],[Hire Date]])</f>
        <v>2005</v>
      </c>
    </row>
    <row r="834" spans="1:18" x14ac:dyDescent="0.35">
      <c r="A834" t="s">
        <v>1678</v>
      </c>
      <c r="B834" t="s">
        <v>1679</v>
      </c>
      <c r="C834" t="s">
        <v>16</v>
      </c>
      <c r="D834" t="s">
        <v>81</v>
      </c>
      <c r="E834" t="s">
        <v>36</v>
      </c>
      <c r="F834" t="s">
        <v>19</v>
      </c>
      <c r="G834" t="s">
        <v>37</v>
      </c>
      <c r="H834">
        <v>55</v>
      </c>
      <c r="I834" s="5">
        <v>36977</v>
      </c>
      <c r="J834" s="11">
        <v>157812</v>
      </c>
      <c r="K834" s="6">
        <v>0.11</v>
      </c>
      <c r="L834" t="s">
        <v>21</v>
      </c>
      <c r="M834" t="s">
        <v>57</v>
      </c>
      <c r="N834" s="5" t="s">
        <v>31</v>
      </c>
      <c r="O834">
        <f>TBL_Employees[[#This Row],[Bonus %]]*TBL_Employees[[#This Row],[Annual Salary]]</f>
        <v>17359.32</v>
      </c>
      <c r="P834" t="str">
        <f>IF(TBL_Employees[[#This Row],[Age]]&gt;50,"Senior","Junior")</f>
        <v>Senior</v>
      </c>
      <c r="Q834" s="14" t="str">
        <f>IF(OR(D834="IT", J834&gt;100000), "YES", "NO")</f>
        <v>YES</v>
      </c>
      <c r="R834" s="14">
        <f>YEAR(TBL_Employees[[#This Row],[Hire Date]])</f>
        <v>2001</v>
      </c>
    </row>
    <row r="835" spans="1:18" x14ac:dyDescent="0.35">
      <c r="A835" t="s">
        <v>1680</v>
      </c>
      <c r="B835" t="s">
        <v>1681</v>
      </c>
      <c r="C835" t="s">
        <v>109</v>
      </c>
      <c r="D835" t="s">
        <v>70</v>
      </c>
      <c r="E835" t="s">
        <v>50</v>
      </c>
      <c r="F835" t="s">
        <v>27</v>
      </c>
      <c r="G835" t="s">
        <v>37</v>
      </c>
      <c r="H835">
        <v>27</v>
      </c>
      <c r="I835" s="5">
        <v>43354</v>
      </c>
      <c r="J835" s="11">
        <v>80745</v>
      </c>
      <c r="K835" s="6">
        <v>0</v>
      </c>
      <c r="L835" t="s">
        <v>21</v>
      </c>
      <c r="M835" t="s">
        <v>38</v>
      </c>
      <c r="N835" s="5" t="s">
        <v>31</v>
      </c>
      <c r="O835">
        <f>TBL_Employees[[#This Row],[Bonus %]]*TBL_Employees[[#This Row],[Annual Salary]]</f>
        <v>0</v>
      </c>
      <c r="P835" t="str">
        <f>IF(TBL_Employees[[#This Row],[Age]]&gt;50,"Senior","Junior")</f>
        <v>Junior</v>
      </c>
      <c r="Q835" s="14" t="str">
        <f>IF(OR(D835="IT", J835&gt;100000), "YES", "NO")</f>
        <v>NO</v>
      </c>
      <c r="R835" s="14">
        <f>YEAR(TBL_Employees[[#This Row],[Hire Date]])</f>
        <v>2018</v>
      </c>
    </row>
    <row r="836" spans="1:18" x14ac:dyDescent="0.35">
      <c r="A836" t="s">
        <v>1682</v>
      </c>
      <c r="B836" t="s">
        <v>1683</v>
      </c>
      <c r="C836" t="s">
        <v>300</v>
      </c>
      <c r="D836" t="s">
        <v>17</v>
      </c>
      <c r="E836" t="s">
        <v>26</v>
      </c>
      <c r="F836" t="s">
        <v>19</v>
      </c>
      <c r="G836" t="s">
        <v>37</v>
      </c>
      <c r="H836">
        <v>57</v>
      </c>
      <c r="I836" s="5">
        <v>35113</v>
      </c>
      <c r="J836" s="11">
        <v>75354</v>
      </c>
      <c r="K836" s="6">
        <v>0</v>
      </c>
      <c r="L836" t="s">
        <v>21</v>
      </c>
      <c r="M836" t="s">
        <v>61</v>
      </c>
      <c r="N836" s="5">
        <v>35413</v>
      </c>
      <c r="O836">
        <f>TBL_Employees[[#This Row],[Bonus %]]*TBL_Employees[[#This Row],[Annual Salary]]</f>
        <v>0</v>
      </c>
      <c r="P836" t="str">
        <f>IF(TBL_Employees[[#This Row],[Age]]&gt;50,"Senior","Junior")</f>
        <v>Senior</v>
      </c>
      <c r="Q836" s="14" t="str">
        <f>IF(OR(D836="IT", J836&gt;100000), "YES", "NO")</f>
        <v>YES</v>
      </c>
      <c r="R836" s="14">
        <f>YEAR(TBL_Employees[[#This Row],[Hire Date]])</f>
        <v>1996</v>
      </c>
    </row>
    <row r="837" spans="1:18" x14ac:dyDescent="0.35">
      <c r="A837" t="s">
        <v>1684</v>
      </c>
      <c r="B837" t="s">
        <v>1685</v>
      </c>
      <c r="C837" t="s">
        <v>114</v>
      </c>
      <c r="D837" t="s">
        <v>70</v>
      </c>
      <c r="E837" t="s">
        <v>18</v>
      </c>
      <c r="F837" t="s">
        <v>27</v>
      </c>
      <c r="G837" t="s">
        <v>86</v>
      </c>
      <c r="H837">
        <v>56</v>
      </c>
      <c r="I837" s="5">
        <v>43363</v>
      </c>
      <c r="J837" s="11">
        <v>78938</v>
      </c>
      <c r="K837" s="6">
        <v>0.14000000000000001</v>
      </c>
      <c r="L837" t="s">
        <v>21</v>
      </c>
      <c r="M837" t="s">
        <v>45</v>
      </c>
      <c r="N837" s="5" t="s">
        <v>31</v>
      </c>
      <c r="O837">
        <f>TBL_Employees[[#This Row],[Bonus %]]*TBL_Employees[[#This Row],[Annual Salary]]</f>
        <v>11051.320000000002</v>
      </c>
      <c r="P837" t="str">
        <f>IF(TBL_Employees[[#This Row],[Age]]&gt;50,"Senior","Junior")</f>
        <v>Senior</v>
      </c>
      <c r="Q837" s="14" t="str">
        <f>IF(OR(D837="IT", J837&gt;100000), "YES", "NO")</f>
        <v>NO</v>
      </c>
      <c r="R837" s="14">
        <f>YEAR(TBL_Employees[[#This Row],[Hire Date]])</f>
        <v>2018</v>
      </c>
    </row>
    <row r="838" spans="1:18" x14ac:dyDescent="0.35">
      <c r="A838" t="s">
        <v>1686</v>
      </c>
      <c r="B838" t="s">
        <v>1687</v>
      </c>
      <c r="C838" t="s">
        <v>182</v>
      </c>
      <c r="D838" t="s">
        <v>70</v>
      </c>
      <c r="E838" t="s">
        <v>50</v>
      </c>
      <c r="F838" t="s">
        <v>27</v>
      </c>
      <c r="G838" t="s">
        <v>86</v>
      </c>
      <c r="H838">
        <v>59</v>
      </c>
      <c r="I838" s="5">
        <v>39701</v>
      </c>
      <c r="J838" s="11">
        <v>96313</v>
      </c>
      <c r="K838" s="6">
        <v>0</v>
      </c>
      <c r="L838" t="s">
        <v>21</v>
      </c>
      <c r="M838" t="s">
        <v>61</v>
      </c>
      <c r="N838" s="5" t="s">
        <v>31</v>
      </c>
      <c r="O838">
        <f>TBL_Employees[[#This Row],[Bonus %]]*TBL_Employees[[#This Row],[Annual Salary]]</f>
        <v>0</v>
      </c>
      <c r="P838" t="str">
        <f>IF(TBL_Employees[[#This Row],[Age]]&gt;50,"Senior","Junior")</f>
        <v>Senior</v>
      </c>
      <c r="Q838" s="14" t="str">
        <f>IF(OR(D838="IT", J838&gt;100000), "YES", "NO")</f>
        <v>NO</v>
      </c>
      <c r="R838" s="14">
        <f>YEAR(TBL_Employees[[#This Row],[Hire Date]])</f>
        <v>2008</v>
      </c>
    </row>
    <row r="839" spans="1:18" x14ac:dyDescent="0.35">
      <c r="A839" t="s">
        <v>1688</v>
      </c>
      <c r="B839" t="s">
        <v>1689</v>
      </c>
      <c r="C839" t="s">
        <v>34</v>
      </c>
      <c r="D839" t="s">
        <v>70</v>
      </c>
      <c r="E839" t="s">
        <v>36</v>
      </c>
      <c r="F839" t="s">
        <v>27</v>
      </c>
      <c r="G839" t="s">
        <v>37</v>
      </c>
      <c r="H839">
        <v>45</v>
      </c>
      <c r="I839" s="5">
        <v>40511</v>
      </c>
      <c r="J839" s="11">
        <v>153767</v>
      </c>
      <c r="K839" s="6">
        <v>0.27</v>
      </c>
      <c r="L839" t="s">
        <v>21</v>
      </c>
      <c r="M839" t="s">
        <v>45</v>
      </c>
      <c r="N839" s="5" t="s">
        <v>31</v>
      </c>
      <c r="O839">
        <f>TBL_Employees[[#This Row],[Bonus %]]*TBL_Employees[[#This Row],[Annual Salary]]</f>
        <v>41517.090000000004</v>
      </c>
      <c r="P839" t="str">
        <f>IF(TBL_Employees[[#This Row],[Age]]&gt;50,"Senior","Junior")</f>
        <v>Junior</v>
      </c>
      <c r="Q839" s="14" t="str">
        <f>IF(OR(D839="IT", J839&gt;100000), "YES", "NO")</f>
        <v>YES</v>
      </c>
      <c r="R839" s="14">
        <f>YEAR(TBL_Employees[[#This Row],[Hire Date]])</f>
        <v>2010</v>
      </c>
    </row>
    <row r="840" spans="1:18" x14ac:dyDescent="0.35">
      <c r="A840" t="s">
        <v>1345</v>
      </c>
      <c r="B840" t="s">
        <v>1690</v>
      </c>
      <c r="C840" t="s">
        <v>53</v>
      </c>
      <c r="D840" t="s">
        <v>81</v>
      </c>
      <c r="E840" t="s">
        <v>18</v>
      </c>
      <c r="F840" t="s">
        <v>19</v>
      </c>
      <c r="G840" t="s">
        <v>20</v>
      </c>
      <c r="H840">
        <v>42</v>
      </c>
      <c r="I840" s="5">
        <v>42266</v>
      </c>
      <c r="J840" s="11">
        <v>103423</v>
      </c>
      <c r="K840" s="6">
        <v>0.06</v>
      </c>
      <c r="L840" t="s">
        <v>21</v>
      </c>
      <c r="M840" t="s">
        <v>89</v>
      </c>
      <c r="N840" s="5" t="s">
        <v>31</v>
      </c>
      <c r="O840">
        <f>TBL_Employees[[#This Row],[Bonus %]]*TBL_Employees[[#This Row],[Annual Salary]]</f>
        <v>6205.38</v>
      </c>
      <c r="P840" t="str">
        <f>IF(TBL_Employees[[#This Row],[Age]]&gt;50,"Senior","Junior")</f>
        <v>Junior</v>
      </c>
      <c r="Q840" s="14" t="str">
        <f>IF(OR(D840="IT", J840&gt;100000), "YES", "NO")</f>
        <v>YES</v>
      </c>
      <c r="R840" s="14">
        <f>YEAR(TBL_Employees[[#This Row],[Hire Date]])</f>
        <v>2015</v>
      </c>
    </row>
    <row r="841" spans="1:18" x14ac:dyDescent="0.35">
      <c r="A841" t="s">
        <v>1691</v>
      </c>
      <c r="B841" t="s">
        <v>1692</v>
      </c>
      <c r="C841" t="s">
        <v>69</v>
      </c>
      <c r="D841" t="s">
        <v>70</v>
      </c>
      <c r="E841" t="s">
        <v>50</v>
      </c>
      <c r="F841" t="s">
        <v>19</v>
      </c>
      <c r="G841" t="s">
        <v>28</v>
      </c>
      <c r="H841">
        <v>25</v>
      </c>
      <c r="I841" s="5">
        <v>44370</v>
      </c>
      <c r="J841" s="11">
        <v>86464</v>
      </c>
      <c r="K841" s="6">
        <v>0</v>
      </c>
      <c r="L841" t="s">
        <v>29</v>
      </c>
      <c r="M841" t="s">
        <v>75</v>
      </c>
      <c r="N841" s="5" t="s">
        <v>31</v>
      </c>
      <c r="O841">
        <f>TBL_Employees[[#This Row],[Bonus %]]*TBL_Employees[[#This Row],[Annual Salary]]</f>
        <v>0</v>
      </c>
      <c r="P841" t="str">
        <f>IF(TBL_Employees[[#This Row],[Age]]&gt;50,"Senior","Junior")</f>
        <v>Junior</v>
      </c>
      <c r="Q841" s="14" t="str">
        <f>IF(OR(D841="IT", J841&gt;100000), "YES", "NO")</f>
        <v>NO</v>
      </c>
      <c r="R841" s="14">
        <f>YEAR(TBL_Employees[[#This Row],[Hire Date]])</f>
        <v>2021</v>
      </c>
    </row>
    <row r="842" spans="1:18" x14ac:dyDescent="0.35">
      <c r="A842" t="s">
        <v>1693</v>
      </c>
      <c r="B842" t="s">
        <v>1694</v>
      </c>
      <c r="C842" t="s">
        <v>69</v>
      </c>
      <c r="D842" t="s">
        <v>70</v>
      </c>
      <c r="E842" t="s">
        <v>50</v>
      </c>
      <c r="F842" t="s">
        <v>19</v>
      </c>
      <c r="G842" t="s">
        <v>86</v>
      </c>
      <c r="H842">
        <v>29</v>
      </c>
      <c r="I842" s="5">
        <v>43114</v>
      </c>
      <c r="J842" s="11">
        <v>80516</v>
      </c>
      <c r="K842" s="6">
        <v>0</v>
      </c>
      <c r="L842" t="s">
        <v>94</v>
      </c>
      <c r="M842" t="s">
        <v>219</v>
      </c>
      <c r="N842" s="5" t="s">
        <v>31</v>
      </c>
      <c r="O842">
        <f>TBL_Employees[[#This Row],[Bonus %]]*TBL_Employees[[#This Row],[Annual Salary]]</f>
        <v>0</v>
      </c>
      <c r="P842" t="str">
        <f>IF(TBL_Employees[[#This Row],[Age]]&gt;50,"Senior","Junior")</f>
        <v>Junior</v>
      </c>
      <c r="Q842" s="14" t="str">
        <f>IF(OR(D842="IT", J842&gt;100000), "YES", "NO")</f>
        <v>NO</v>
      </c>
      <c r="R842" s="14">
        <f>YEAR(TBL_Employees[[#This Row],[Hire Date]])</f>
        <v>2018</v>
      </c>
    </row>
    <row r="843" spans="1:18" x14ac:dyDescent="0.35">
      <c r="A843" t="s">
        <v>1695</v>
      </c>
      <c r="B843" t="s">
        <v>1696</v>
      </c>
      <c r="C843" t="s">
        <v>53</v>
      </c>
      <c r="D843" t="s">
        <v>66</v>
      </c>
      <c r="E843" t="s">
        <v>36</v>
      </c>
      <c r="F843" t="s">
        <v>19</v>
      </c>
      <c r="G843" t="s">
        <v>20</v>
      </c>
      <c r="H843">
        <v>33</v>
      </c>
      <c r="I843" s="5">
        <v>41507</v>
      </c>
      <c r="J843" s="11">
        <v>105390</v>
      </c>
      <c r="K843" s="6">
        <v>0.06</v>
      </c>
      <c r="L843" t="s">
        <v>21</v>
      </c>
      <c r="M843" t="s">
        <v>89</v>
      </c>
      <c r="N843" s="5" t="s">
        <v>31</v>
      </c>
      <c r="O843">
        <f>TBL_Employees[[#This Row],[Bonus %]]*TBL_Employees[[#This Row],[Annual Salary]]</f>
        <v>6323.4</v>
      </c>
      <c r="P843" t="str">
        <f>IF(TBL_Employees[[#This Row],[Age]]&gt;50,"Senior","Junior")</f>
        <v>Junior</v>
      </c>
      <c r="Q843" s="14" t="str">
        <f>IF(OR(D843="IT", J843&gt;100000), "YES", "NO")</f>
        <v>YES</v>
      </c>
      <c r="R843" s="14">
        <f>YEAR(TBL_Employees[[#This Row],[Hire Date]])</f>
        <v>2013</v>
      </c>
    </row>
    <row r="844" spans="1:18" x14ac:dyDescent="0.35">
      <c r="A844" t="s">
        <v>1697</v>
      </c>
      <c r="B844" t="s">
        <v>1698</v>
      </c>
      <c r="C844" t="s">
        <v>208</v>
      </c>
      <c r="D844" t="s">
        <v>17</v>
      </c>
      <c r="E844" t="s">
        <v>26</v>
      </c>
      <c r="F844" t="s">
        <v>19</v>
      </c>
      <c r="G844" t="s">
        <v>28</v>
      </c>
      <c r="H844">
        <v>50</v>
      </c>
      <c r="I844" s="5">
        <v>44445</v>
      </c>
      <c r="J844" s="11">
        <v>83418</v>
      </c>
      <c r="K844" s="6">
        <v>0</v>
      </c>
      <c r="L844" t="s">
        <v>29</v>
      </c>
      <c r="M844" t="s">
        <v>75</v>
      </c>
      <c r="N844" s="5" t="s">
        <v>31</v>
      </c>
      <c r="O844">
        <f>TBL_Employees[[#This Row],[Bonus %]]*TBL_Employees[[#This Row],[Annual Salary]]</f>
        <v>0</v>
      </c>
      <c r="P844" t="str">
        <f>IF(TBL_Employees[[#This Row],[Age]]&gt;50,"Senior","Junior")</f>
        <v>Junior</v>
      </c>
      <c r="Q844" s="14" t="str">
        <f>IF(OR(D844="IT", J844&gt;100000), "YES", "NO")</f>
        <v>YES</v>
      </c>
      <c r="R844" s="14">
        <f>YEAR(TBL_Employees[[#This Row],[Hire Date]])</f>
        <v>2021</v>
      </c>
    </row>
    <row r="845" spans="1:18" x14ac:dyDescent="0.35">
      <c r="A845" t="s">
        <v>1699</v>
      </c>
      <c r="B845" t="s">
        <v>1700</v>
      </c>
      <c r="C845" t="s">
        <v>373</v>
      </c>
      <c r="D845" t="s">
        <v>17</v>
      </c>
      <c r="E845" t="s">
        <v>36</v>
      </c>
      <c r="F845" t="s">
        <v>19</v>
      </c>
      <c r="G845" t="s">
        <v>37</v>
      </c>
      <c r="H845">
        <v>45</v>
      </c>
      <c r="I845" s="5">
        <v>43042</v>
      </c>
      <c r="J845" s="11">
        <v>66660</v>
      </c>
      <c r="K845" s="6">
        <v>0</v>
      </c>
      <c r="L845" t="s">
        <v>21</v>
      </c>
      <c r="M845" t="s">
        <v>61</v>
      </c>
      <c r="N845" s="5" t="s">
        <v>31</v>
      </c>
      <c r="O845">
        <f>TBL_Employees[[#This Row],[Bonus %]]*TBL_Employees[[#This Row],[Annual Salary]]</f>
        <v>0</v>
      </c>
      <c r="P845" t="str">
        <f>IF(TBL_Employees[[#This Row],[Age]]&gt;50,"Senior","Junior")</f>
        <v>Junior</v>
      </c>
      <c r="Q845" s="14" t="str">
        <f>IF(OR(D845="IT", J845&gt;100000), "YES", "NO")</f>
        <v>YES</v>
      </c>
      <c r="R845" s="14">
        <f>YEAR(TBL_Employees[[#This Row],[Hire Date]])</f>
        <v>2017</v>
      </c>
    </row>
    <row r="846" spans="1:18" x14ac:dyDescent="0.35">
      <c r="A846" t="s">
        <v>1271</v>
      </c>
      <c r="B846" t="s">
        <v>1701</v>
      </c>
      <c r="C846" t="s">
        <v>53</v>
      </c>
      <c r="D846" t="s">
        <v>66</v>
      </c>
      <c r="E846" t="s">
        <v>36</v>
      </c>
      <c r="F846" t="s">
        <v>27</v>
      </c>
      <c r="G846" t="s">
        <v>86</v>
      </c>
      <c r="H846">
        <v>59</v>
      </c>
      <c r="I846" s="5">
        <v>42165</v>
      </c>
      <c r="J846" s="11">
        <v>101985</v>
      </c>
      <c r="K846" s="6">
        <v>7.0000000000000007E-2</v>
      </c>
      <c r="L846" t="s">
        <v>21</v>
      </c>
      <c r="M846" t="s">
        <v>57</v>
      </c>
      <c r="N846" s="5" t="s">
        <v>31</v>
      </c>
      <c r="O846">
        <f>TBL_Employees[[#This Row],[Bonus %]]*TBL_Employees[[#This Row],[Annual Salary]]</f>
        <v>7138.9500000000007</v>
      </c>
      <c r="P846" t="str">
        <f>IF(TBL_Employees[[#This Row],[Age]]&gt;50,"Senior","Junior")</f>
        <v>Senior</v>
      </c>
      <c r="Q846" s="14" t="str">
        <f>IF(OR(D846="IT", J846&gt;100000), "YES", "NO")</f>
        <v>YES</v>
      </c>
      <c r="R846" s="14">
        <f>YEAR(TBL_Employees[[#This Row],[Hire Date]])</f>
        <v>2015</v>
      </c>
    </row>
    <row r="847" spans="1:18" x14ac:dyDescent="0.35">
      <c r="A847" t="s">
        <v>1702</v>
      </c>
      <c r="B847" t="s">
        <v>1703</v>
      </c>
      <c r="C847" t="s">
        <v>80</v>
      </c>
      <c r="D847" t="s">
        <v>35</v>
      </c>
      <c r="E847" t="s">
        <v>50</v>
      </c>
      <c r="F847" t="s">
        <v>27</v>
      </c>
      <c r="G847" t="s">
        <v>86</v>
      </c>
      <c r="H847">
        <v>29</v>
      </c>
      <c r="I847" s="5">
        <v>43439</v>
      </c>
      <c r="J847" s="11">
        <v>199504</v>
      </c>
      <c r="K847" s="6">
        <v>0.3</v>
      </c>
      <c r="L847" t="s">
        <v>21</v>
      </c>
      <c r="M847" t="s">
        <v>61</v>
      </c>
      <c r="N847" s="5" t="s">
        <v>31</v>
      </c>
      <c r="O847">
        <f>TBL_Employees[[#This Row],[Bonus %]]*TBL_Employees[[#This Row],[Annual Salary]]</f>
        <v>59851.199999999997</v>
      </c>
      <c r="P847" t="str">
        <f>IF(TBL_Employees[[#This Row],[Age]]&gt;50,"Senior","Junior")</f>
        <v>Junior</v>
      </c>
      <c r="Q847" s="14" t="str">
        <f>IF(OR(D847="IT", J847&gt;100000), "YES", "NO")</f>
        <v>YES</v>
      </c>
      <c r="R847" s="14">
        <f>YEAR(TBL_Employees[[#This Row],[Hire Date]])</f>
        <v>2018</v>
      </c>
    </row>
    <row r="848" spans="1:18" x14ac:dyDescent="0.35">
      <c r="A848" t="s">
        <v>1704</v>
      </c>
      <c r="B848" t="s">
        <v>1705</v>
      </c>
      <c r="C848" t="s">
        <v>16</v>
      </c>
      <c r="D848" t="s">
        <v>49</v>
      </c>
      <c r="E848" t="s">
        <v>50</v>
      </c>
      <c r="F848" t="s">
        <v>19</v>
      </c>
      <c r="G848" t="s">
        <v>86</v>
      </c>
      <c r="H848">
        <v>52</v>
      </c>
      <c r="I848" s="5">
        <v>38995</v>
      </c>
      <c r="J848" s="11">
        <v>147966</v>
      </c>
      <c r="K848" s="6">
        <v>0.11</v>
      </c>
      <c r="L848" t="s">
        <v>94</v>
      </c>
      <c r="M848" t="s">
        <v>100</v>
      </c>
      <c r="N848" s="5">
        <v>43608</v>
      </c>
      <c r="O848">
        <f>TBL_Employees[[#This Row],[Bonus %]]*TBL_Employees[[#This Row],[Annual Salary]]</f>
        <v>16276.26</v>
      </c>
      <c r="P848" t="str">
        <f>IF(TBL_Employees[[#This Row],[Age]]&gt;50,"Senior","Junior")</f>
        <v>Senior</v>
      </c>
      <c r="Q848" s="14" t="str">
        <f>IF(OR(D848="IT", J848&gt;100000), "YES", "NO")</f>
        <v>YES</v>
      </c>
      <c r="R848" s="14">
        <f>YEAR(TBL_Employees[[#This Row],[Hire Date]])</f>
        <v>2006</v>
      </c>
    </row>
    <row r="849" spans="1:18" x14ac:dyDescent="0.35">
      <c r="A849" t="s">
        <v>285</v>
      </c>
      <c r="B849" t="s">
        <v>1706</v>
      </c>
      <c r="C849" t="s">
        <v>185</v>
      </c>
      <c r="D849" t="s">
        <v>66</v>
      </c>
      <c r="E849" t="s">
        <v>36</v>
      </c>
      <c r="F849" t="s">
        <v>27</v>
      </c>
      <c r="G849" t="s">
        <v>28</v>
      </c>
      <c r="H849">
        <v>58</v>
      </c>
      <c r="I849" s="5">
        <v>41810</v>
      </c>
      <c r="J849" s="11">
        <v>41728</v>
      </c>
      <c r="K849" s="6">
        <v>0</v>
      </c>
      <c r="L849" t="s">
        <v>29</v>
      </c>
      <c r="M849" t="s">
        <v>30</v>
      </c>
      <c r="N849" s="5" t="s">
        <v>31</v>
      </c>
      <c r="O849">
        <f>TBL_Employees[[#This Row],[Bonus %]]*TBL_Employees[[#This Row],[Annual Salary]]</f>
        <v>0</v>
      </c>
      <c r="P849" t="str">
        <f>IF(TBL_Employees[[#This Row],[Age]]&gt;50,"Senior","Junior")</f>
        <v>Senior</v>
      </c>
      <c r="Q849" s="14" t="str">
        <f>IF(OR(D849="IT", J849&gt;100000), "YES", "NO")</f>
        <v>NO</v>
      </c>
      <c r="R849" s="14">
        <f>YEAR(TBL_Employees[[#This Row],[Hire Date]])</f>
        <v>2014</v>
      </c>
    </row>
    <row r="850" spans="1:18" x14ac:dyDescent="0.35">
      <c r="A850" t="s">
        <v>1454</v>
      </c>
      <c r="B850" t="s">
        <v>1707</v>
      </c>
      <c r="C850" t="s">
        <v>44</v>
      </c>
      <c r="D850" t="s">
        <v>60</v>
      </c>
      <c r="E850" t="s">
        <v>36</v>
      </c>
      <c r="F850" t="s">
        <v>27</v>
      </c>
      <c r="G850" t="s">
        <v>86</v>
      </c>
      <c r="H850">
        <v>62</v>
      </c>
      <c r="I850" s="5">
        <v>40591</v>
      </c>
      <c r="J850" s="11">
        <v>94422</v>
      </c>
      <c r="K850" s="6">
        <v>0</v>
      </c>
      <c r="L850" t="s">
        <v>21</v>
      </c>
      <c r="M850" t="s">
        <v>45</v>
      </c>
      <c r="N850" s="5" t="s">
        <v>31</v>
      </c>
      <c r="O850">
        <f>TBL_Employees[[#This Row],[Bonus %]]*TBL_Employees[[#This Row],[Annual Salary]]</f>
        <v>0</v>
      </c>
      <c r="P850" t="str">
        <f>IF(TBL_Employees[[#This Row],[Age]]&gt;50,"Senior","Junior")</f>
        <v>Senior</v>
      </c>
      <c r="Q850" s="14" t="str">
        <f>IF(OR(D850="IT", J850&gt;100000), "YES", "NO")</f>
        <v>NO</v>
      </c>
      <c r="R850" s="14">
        <f>YEAR(TBL_Employees[[#This Row],[Hire Date]])</f>
        <v>2011</v>
      </c>
    </row>
    <row r="851" spans="1:18" x14ac:dyDescent="0.35">
      <c r="A851" t="s">
        <v>1708</v>
      </c>
      <c r="B851" t="s">
        <v>1709</v>
      </c>
      <c r="C851" t="s">
        <v>34</v>
      </c>
      <c r="D851" t="s">
        <v>49</v>
      </c>
      <c r="E851" t="s">
        <v>50</v>
      </c>
      <c r="F851" t="s">
        <v>27</v>
      </c>
      <c r="G851" t="s">
        <v>28</v>
      </c>
      <c r="H851">
        <v>31</v>
      </c>
      <c r="I851" s="5">
        <v>42184</v>
      </c>
      <c r="J851" s="11">
        <v>191026</v>
      </c>
      <c r="K851" s="6">
        <v>0.16</v>
      </c>
      <c r="L851" t="s">
        <v>21</v>
      </c>
      <c r="M851" t="s">
        <v>89</v>
      </c>
      <c r="N851" s="5" t="s">
        <v>31</v>
      </c>
      <c r="O851">
        <f>TBL_Employees[[#This Row],[Bonus %]]*TBL_Employees[[#This Row],[Annual Salary]]</f>
        <v>30564.16</v>
      </c>
      <c r="P851" t="str">
        <f>IF(TBL_Employees[[#This Row],[Age]]&gt;50,"Senior","Junior")</f>
        <v>Junior</v>
      </c>
      <c r="Q851" s="14" t="str">
        <f>IF(OR(D851="IT", J851&gt;100000), "YES", "NO")</f>
        <v>YES</v>
      </c>
      <c r="R851" s="14">
        <f>YEAR(TBL_Employees[[#This Row],[Hire Date]])</f>
        <v>2015</v>
      </c>
    </row>
    <row r="852" spans="1:18" x14ac:dyDescent="0.35">
      <c r="A852" t="s">
        <v>1710</v>
      </c>
      <c r="B852" t="s">
        <v>1711</v>
      </c>
      <c r="C852" t="s">
        <v>80</v>
      </c>
      <c r="D852" t="s">
        <v>17</v>
      </c>
      <c r="E852" t="s">
        <v>18</v>
      </c>
      <c r="F852" t="s">
        <v>27</v>
      </c>
      <c r="G852" t="s">
        <v>86</v>
      </c>
      <c r="H852">
        <v>42</v>
      </c>
      <c r="I852" s="5">
        <v>40511</v>
      </c>
      <c r="J852" s="11">
        <v>186725</v>
      </c>
      <c r="K852" s="6">
        <v>0.32</v>
      </c>
      <c r="L852" t="s">
        <v>94</v>
      </c>
      <c r="M852" t="s">
        <v>95</v>
      </c>
      <c r="N852" s="5" t="s">
        <v>31</v>
      </c>
      <c r="O852">
        <f>TBL_Employees[[#This Row],[Bonus %]]*TBL_Employees[[#This Row],[Annual Salary]]</f>
        <v>59752</v>
      </c>
      <c r="P852" t="str">
        <f>IF(TBL_Employees[[#This Row],[Age]]&gt;50,"Senior","Junior")</f>
        <v>Junior</v>
      </c>
      <c r="Q852" s="14" t="str">
        <f>IF(OR(D852="IT", J852&gt;100000), "YES", "NO")</f>
        <v>YES</v>
      </c>
      <c r="R852" s="14">
        <f>YEAR(TBL_Employees[[#This Row],[Hire Date]])</f>
        <v>2010</v>
      </c>
    </row>
    <row r="853" spans="1:18" x14ac:dyDescent="0.35">
      <c r="A853" t="s">
        <v>1712</v>
      </c>
      <c r="B853" t="s">
        <v>1713</v>
      </c>
      <c r="C853" t="s">
        <v>185</v>
      </c>
      <c r="D853" t="s">
        <v>66</v>
      </c>
      <c r="E853" t="s">
        <v>18</v>
      </c>
      <c r="F853" t="s">
        <v>19</v>
      </c>
      <c r="G853" t="s">
        <v>37</v>
      </c>
      <c r="H853">
        <v>56</v>
      </c>
      <c r="I853" s="5">
        <v>40045</v>
      </c>
      <c r="J853" s="11">
        <v>52800</v>
      </c>
      <c r="K853" s="6">
        <v>0</v>
      </c>
      <c r="L853" t="s">
        <v>21</v>
      </c>
      <c r="M853" t="s">
        <v>45</v>
      </c>
      <c r="N853" s="5" t="s">
        <v>31</v>
      </c>
      <c r="O853">
        <f>TBL_Employees[[#This Row],[Bonus %]]*TBL_Employees[[#This Row],[Annual Salary]]</f>
        <v>0</v>
      </c>
      <c r="P853" t="str">
        <f>IF(TBL_Employees[[#This Row],[Age]]&gt;50,"Senior","Junior")</f>
        <v>Senior</v>
      </c>
      <c r="Q853" s="14" t="str">
        <f>IF(OR(D853="IT", J853&gt;100000), "YES", "NO")</f>
        <v>NO</v>
      </c>
      <c r="R853" s="14">
        <f>YEAR(TBL_Employees[[#This Row],[Hire Date]])</f>
        <v>2009</v>
      </c>
    </row>
    <row r="854" spans="1:18" x14ac:dyDescent="0.35">
      <c r="A854" t="s">
        <v>1714</v>
      </c>
      <c r="B854" t="s">
        <v>1715</v>
      </c>
      <c r="C854" t="s">
        <v>182</v>
      </c>
      <c r="D854" t="s">
        <v>70</v>
      </c>
      <c r="E854" t="s">
        <v>36</v>
      </c>
      <c r="F854" t="s">
        <v>27</v>
      </c>
      <c r="G854" t="s">
        <v>37</v>
      </c>
      <c r="H854">
        <v>54</v>
      </c>
      <c r="I854" s="5">
        <v>40517</v>
      </c>
      <c r="J854" s="11">
        <v>113982</v>
      </c>
      <c r="K854" s="6">
        <v>0</v>
      </c>
      <c r="L854" t="s">
        <v>21</v>
      </c>
      <c r="M854" t="s">
        <v>22</v>
      </c>
      <c r="N854" s="5" t="s">
        <v>31</v>
      </c>
      <c r="O854">
        <f>TBL_Employees[[#This Row],[Bonus %]]*TBL_Employees[[#This Row],[Annual Salary]]</f>
        <v>0</v>
      </c>
      <c r="P854" t="str">
        <f>IF(TBL_Employees[[#This Row],[Age]]&gt;50,"Senior","Junior")</f>
        <v>Senior</v>
      </c>
      <c r="Q854" s="14" t="str">
        <f>IF(OR(D854="IT", J854&gt;100000), "YES", "NO")</f>
        <v>YES</v>
      </c>
      <c r="R854" s="14">
        <f>YEAR(TBL_Employees[[#This Row],[Hire Date]])</f>
        <v>2010</v>
      </c>
    </row>
    <row r="855" spans="1:18" x14ac:dyDescent="0.35">
      <c r="A855" t="s">
        <v>1716</v>
      </c>
      <c r="B855" t="s">
        <v>1717</v>
      </c>
      <c r="C855" t="s">
        <v>48</v>
      </c>
      <c r="D855" t="s">
        <v>49</v>
      </c>
      <c r="E855" t="s">
        <v>18</v>
      </c>
      <c r="F855" t="s">
        <v>19</v>
      </c>
      <c r="G855" t="s">
        <v>28</v>
      </c>
      <c r="H855">
        <v>54</v>
      </c>
      <c r="I855" s="5">
        <v>44271</v>
      </c>
      <c r="J855" s="11">
        <v>56239</v>
      </c>
      <c r="K855" s="6">
        <v>0</v>
      </c>
      <c r="L855" t="s">
        <v>29</v>
      </c>
      <c r="M855" t="s">
        <v>30</v>
      </c>
      <c r="N855" s="5" t="s">
        <v>31</v>
      </c>
      <c r="O855">
        <f>TBL_Employees[[#This Row],[Bonus %]]*TBL_Employees[[#This Row],[Annual Salary]]</f>
        <v>0</v>
      </c>
      <c r="P855" t="str">
        <f>IF(TBL_Employees[[#This Row],[Age]]&gt;50,"Senior","Junior")</f>
        <v>Senior</v>
      </c>
      <c r="Q855" s="14" t="str">
        <f>IF(OR(D855="IT", J855&gt;100000), "YES", "NO")</f>
        <v>NO</v>
      </c>
      <c r="R855" s="14">
        <f>YEAR(TBL_Employees[[#This Row],[Hire Date]])</f>
        <v>2021</v>
      </c>
    </row>
    <row r="856" spans="1:18" x14ac:dyDescent="0.35">
      <c r="A856" t="s">
        <v>419</v>
      </c>
      <c r="B856" t="s">
        <v>1718</v>
      </c>
      <c r="C856" t="s">
        <v>56</v>
      </c>
      <c r="D856" t="s">
        <v>49</v>
      </c>
      <c r="E856" t="s">
        <v>26</v>
      </c>
      <c r="F856" t="s">
        <v>27</v>
      </c>
      <c r="G856" t="s">
        <v>86</v>
      </c>
      <c r="H856">
        <v>26</v>
      </c>
      <c r="I856" s="5">
        <v>44257</v>
      </c>
      <c r="J856" s="11">
        <v>44732</v>
      </c>
      <c r="K856" s="6">
        <v>0</v>
      </c>
      <c r="L856" t="s">
        <v>94</v>
      </c>
      <c r="M856" t="s">
        <v>100</v>
      </c>
      <c r="N856" s="5" t="s">
        <v>31</v>
      </c>
      <c r="O856">
        <f>TBL_Employees[[#This Row],[Bonus %]]*TBL_Employees[[#This Row],[Annual Salary]]</f>
        <v>0</v>
      </c>
      <c r="P856" t="str">
        <f>IF(TBL_Employees[[#This Row],[Age]]&gt;50,"Senior","Junior")</f>
        <v>Junior</v>
      </c>
      <c r="Q856" s="14" t="str">
        <f>IF(OR(D856="IT", J856&gt;100000), "YES", "NO")</f>
        <v>NO</v>
      </c>
      <c r="R856" s="14">
        <f>YEAR(TBL_Employees[[#This Row],[Hire Date]])</f>
        <v>2021</v>
      </c>
    </row>
    <row r="857" spans="1:18" x14ac:dyDescent="0.35">
      <c r="A857" t="s">
        <v>1719</v>
      </c>
      <c r="B857" t="s">
        <v>1720</v>
      </c>
      <c r="C857" t="s">
        <v>34</v>
      </c>
      <c r="D857" t="s">
        <v>81</v>
      </c>
      <c r="E857" t="s">
        <v>50</v>
      </c>
      <c r="F857" t="s">
        <v>27</v>
      </c>
      <c r="G857" t="s">
        <v>28</v>
      </c>
      <c r="H857">
        <v>49</v>
      </c>
      <c r="I857" s="5">
        <v>41816</v>
      </c>
      <c r="J857" s="11">
        <v>153961</v>
      </c>
      <c r="K857" s="6">
        <v>0.25</v>
      </c>
      <c r="L857" t="s">
        <v>29</v>
      </c>
      <c r="M857" t="s">
        <v>75</v>
      </c>
      <c r="N857" s="5" t="s">
        <v>31</v>
      </c>
      <c r="O857">
        <f>TBL_Employees[[#This Row],[Bonus %]]*TBL_Employees[[#This Row],[Annual Salary]]</f>
        <v>38490.25</v>
      </c>
      <c r="P857" t="str">
        <f>IF(TBL_Employees[[#This Row],[Age]]&gt;50,"Senior","Junior")</f>
        <v>Junior</v>
      </c>
      <c r="Q857" s="14" t="str">
        <f>IF(OR(D857="IT", J857&gt;100000), "YES", "NO")</f>
        <v>YES</v>
      </c>
      <c r="R857" s="14">
        <f>YEAR(TBL_Employees[[#This Row],[Hire Date]])</f>
        <v>2014</v>
      </c>
    </row>
    <row r="858" spans="1:18" x14ac:dyDescent="0.35">
      <c r="A858" t="s">
        <v>1209</v>
      </c>
      <c r="B858" t="s">
        <v>1721</v>
      </c>
      <c r="C858" t="s">
        <v>249</v>
      </c>
      <c r="D858" t="s">
        <v>17</v>
      </c>
      <c r="E858" t="s">
        <v>36</v>
      </c>
      <c r="F858" t="s">
        <v>19</v>
      </c>
      <c r="G858" t="s">
        <v>28</v>
      </c>
      <c r="H858">
        <v>45</v>
      </c>
      <c r="I858" s="5">
        <v>39069</v>
      </c>
      <c r="J858" s="11">
        <v>68337</v>
      </c>
      <c r="K858" s="6">
        <v>0</v>
      </c>
      <c r="L858" t="s">
        <v>29</v>
      </c>
      <c r="M858" t="s">
        <v>30</v>
      </c>
      <c r="N858" s="5" t="s">
        <v>31</v>
      </c>
      <c r="O858">
        <f>TBL_Employees[[#This Row],[Bonus %]]*TBL_Employees[[#This Row],[Annual Salary]]</f>
        <v>0</v>
      </c>
      <c r="P858" t="str">
        <f>IF(TBL_Employees[[#This Row],[Age]]&gt;50,"Senior","Junior")</f>
        <v>Junior</v>
      </c>
      <c r="Q858" s="14" t="str">
        <f>IF(OR(D858="IT", J858&gt;100000), "YES", "NO")</f>
        <v>YES</v>
      </c>
      <c r="R858" s="14">
        <f>YEAR(TBL_Employees[[#This Row],[Hire Date]])</f>
        <v>2006</v>
      </c>
    </row>
    <row r="859" spans="1:18" x14ac:dyDescent="0.35">
      <c r="A859" t="s">
        <v>1722</v>
      </c>
      <c r="B859" t="s">
        <v>1723</v>
      </c>
      <c r="C859" t="s">
        <v>16</v>
      </c>
      <c r="D859" t="s">
        <v>66</v>
      </c>
      <c r="E859" t="s">
        <v>50</v>
      </c>
      <c r="F859" t="s">
        <v>27</v>
      </c>
      <c r="G859" t="s">
        <v>28</v>
      </c>
      <c r="H859">
        <v>45</v>
      </c>
      <c r="I859" s="5">
        <v>40305</v>
      </c>
      <c r="J859" s="11">
        <v>145093</v>
      </c>
      <c r="K859" s="6">
        <v>0.12</v>
      </c>
      <c r="L859" t="s">
        <v>21</v>
      </c>
      <c r="M859" t="s">
        <v>38</v>
      </c>
      <c r="N859" s="5" t="s">
        <v>31</v>
      </c>
      <c r="O859">
        <f>TBL_Employees[[#This Row],[Bonus %]]*TBL_Employees[[#This Row],[Annual Salary]]</f>
        <v>17411.16</v>
      </c>
      <c r="P859" t="str">
        <f>IF(TBL_Employees[[#This Row],[Age]]&gt;50,"Senior","Junior")</f>
        <v>Junior</v>
      </c>
      <c r="Q859" s="14" t="str">
        <f>IF(OR(D859="IT", J859&gt;100000), "YES", "NO")</f>
        <v>YES</v>
      </c>
      <c r="R859" s="14">
        <f>YEAR(TBL_Employees[[#This Row],[Hire Date]])</f>
        <v>2010</v>
      </c>
    </row>
    <row r="860" spans="1:18" x14ac:dyDescent="0.35">
      <c r="A860" t="s">
        <v>1724</v>
      </c>
      <c r="B860" t="s">
        <v>1725</v>
      </c>
      <c r="C860" t="s">
        <v>443</v>
      </c>
      <c r="D860" t="s">
        <v>17</v>
      </c>
      <c r="E860" t="s">
        <v>36</v>
      </c>
      <c r="F860" t="s">
        <v>19</v>
      </c>
      <c r="G860" t="s">
        <v>37</v>
      </c>
      <c r="H860">
        <v>26</v>
      </c>
      <c r="I860" s="5">
        <v>44266</v>
      </c>
      <c r="J860" s="11">
        <v>74170</v>
      </c>
      <c r="K860" s="6">
        <v>0</v>
      </c>
      <c r="L860" t="s">
        <v>21</v>
      </c>
      <c r="M860" t="s">
        <v>61</v>
      </c>
      <c r="N860" s="5" t="s">
        <v>31</v>
      </c>
      <c r="O860">
        <f>TBL_Employees[[#This Row],[Bonus %]]*TBL_Employees[[#This Row],[Annual Salary]]</f>
        <v>0</v>
      </c>
      <c r="P860" t="str">
        <f>IF(TBL_Employees[[#This Row],[Age]]&gt;50,"Senior","Junior")</f>
        <v>Junior</v>
      </c>
      <c r="Q860" s="14" t="str">
        <f>IF(OR(D860="IT", J860&gt;100000), "YES", "NO")</f>
        <v>YES</v>
      </c>
      <c r="R860" s="14">
        <f>YEAR(TBL_Employees[[#This Row],[Hire Date]])</f>
        <v>2021</v>
      </c>
    </row>
    <row r="861" spans="1:18" x14ac:dyDescent="0.35">
      <c r="A861" t="s">
        <v>1726</v>
      </c>
      <c r="B861" t="s">
        <v>1727</v>
      </c>
      <c r="C861" t="s">
        <v>176</v>
      </c>
      <c r="D861" t="s">
        <v>70</v>
      </c>
      <c r="E861" t="s">
        <v>18</v>
      </c>
      <c r="F861" t="s">
        <v>27</v>
      </c>
      <c r="G861" t="s">
        <v>37</v>
      </c>
      <c r="H861">
        <v>59</v>
      </c>
      <c r="I861" s="5">
        <v>35153</v>
      </c>
      <c r="J861" s="11">
        <v>62605</v>
      </c>
      <c r="K861" s="6">
        <v>0</v>
      </c>
      <c r="L861" t="s">
        <v>21</v>
      </c>
      <c r="M861" t="s">
        <v>61</v>
      </c>
      <c r="N861" s="5" t="s">
        <v>31</v>
      </c>
      <c r="O861">
        <f>TBL_Employees[[#This Row],[Bonus %]]*TBL_Employees[[#This Row],[Annual Salary]]</f>
        <v>0</v>
      </c>
      <c r="P861" t="str">
        <f>IF(TBL_Employees[[#This Row],[Age]]&gt;50,"Senior","Junior")</f>
        <v>Senior</v>
      </c>
      <c r="Q861" s="14" t="str">
        <f>IF(OR(D861="IT", J861&gt;100000), "YES", "NO")</f>
        <v>NO</v>
      </c>
      <c r="R861" s="14">
        <f>YEAR(TBL_Employees[[#This Row],[Hire Date]])</f>
        <v>1996</v>
      </c>
    </row>
    <row r="862" spans="1:18" x14ac:dyDescent="0.35">
      <c r="A862" t="s">
        <v>1728</v>
      </c>
      <c r="B862" t="s">
        <v>1729</v>
      </c>
      <c r="C862" t="s">
        <v>53</v>
      </c>
      <c r="D862" t="s">
        <v>17</v>
      </c>
      <c r="E862" t="s">
        <v>36</v>
      </c>
      <c r="F862" t="s">
        <v>19</v>
      </c>
      <c r="G862" t="s">
        <v>37</v>
      </c>
      <c r="H862">
        <v>51</v>
      </c>
      <c r="I862" s="5">
        <v>43903</v>
      </c>
      <c r="J862" s="11">
        <v>107195</v>
      </c>
      <c r="K862" s="6">
        <v>0.09</v>
      </c>
      <c r="L862" t="s">
        <v>21</v>
      </c>
      <c r="M862" t="s">
        <v>61</v>
      </c>
      <c r="N862" s="5" t="s">
        <v>31</v>
      </c>
      <c r="O862">
        <f>TBL_Employees[[#This Row],[Bonus %]]*TBL_Employees[[#This Row],[Annual Salary]]</f>
        <v>9647.5499999999993</v>
      </c>
      <c r="P862" t="str">
        <f>IF(TBL_Employees[[#This Row],[Age]]&gt;50,"Senior","Junior")</f>
        <v>Senior</v>
      </c>
      <c r="Q862" s="14" t="str">
        <f>IF(OR(D862="IT", J862&gt;100000), "YES", "NO")</f>
        <v>YES</v>
      </c>
      <c r="R862" s="14">
        <f>YEAR(TBL_Employees[[#This Row],[Hire Date]])</f>
        <v>2020</v>
      </c>
    </row>
    <row r="863" spans="1:18" x14ac:dyDescent="0.35">
      <c r="A863" t="s">
        <v>1643</v>
      </c>
      <c r="B863" t="s">
        <v>1730</v>
      </c>
      <c r="C863" t="s">
        <v>16</v>
      </c>
      <c r="D863" t="s">
        <v>81</v>
      </c>
      <c r="E863" t="s">
        <v>36</v>
      </c>
      <c r="F863" t="s">
        <v>27</v>
      </c>
      <c r="G863" t="s">
        <v>37</v>
      </c>
      <c r="H863">
        <v>45</v>
      </c>
      <c r="I863" s="5">
        <v>43111</v>
      </c>
      <c r="J863" s="11">
        <v>127422</v>
      </c>
      <c r="K863" s="6">
        <v>0.15</v>
      </c>
      <c r="L863" t="s">
        <v>21</v>
      </c>
      <c r="M863" t="s">
        <v>89</v>
      </c>
      <c r="N863" s="5" t="s">
        <v>31</v>
      </c>
      <c r="O863">
        <f>TBL_Employees[[#This Row],[Bonus %]]*TBL_Employees[[#This Row],[Annual Salary]]</f>
        <v>19113.3</v>
      </c>
      <c r="P863" t="str">
        <f>IF(TBL_Employees[[#This Row],[Age]]&gt;50,"Senior","Junior")</f>
        <v>Junior</v>
      </c>
      <c r="Q863" s="14" t="str">
        <f>IF(OR(D863="IT", J863&gt;100000), "YES", "NO")</f>
        <v>YES</v>
      </c>
      <c r="R863" s="14">
        <f>YEAR(TBL_Employees[[#This Row],[Hire Date]])</f>
        <v>2018</v>
      </c>
    </row>
    <row r="864" spans="1:18" x14ac:dyDescent="0.35">
      <c r="A864" t="s">
        <v>1731</v>
      </c>
      <c r="B864" t="s">
        <v>1732</v>
      </c>
      <c r="C864" t="s">
        <v>34</v>
      </c>
      <c r="D864" t="s">
        <v>60</v>
      </c>
      <c r="E864" t="s">
        <v>18</v>
      </c>
      <c r="F864" t="s">
        <v>19</v>
      </c>
      <c r="G864" t="s">
        <v>37</v>
      </c>
      <c r="H864">
        <v>35</v>
      </c>
      <c r="I864" s="5">
        <v>42912</v>
      </c>
      <c r="J864" s="11">
        <v>161269</v>
      </c>
      <c r="K864" s="6">
        <v>0.27</v>
      </c>
      <c r="L864" t="s">
        <v>21</v>
      </c>
      <c r="M864" t="s">
        <v>57</v>
      </c>
      <c r="N864" s="5" t="s">
        <v>31</v>
      </c>
      <c r="O864">
        <f>TBL_Employees[[#This Row],[Bonus %]]*TBL_Employees[[#This Row],[Annual Salary]]</f>
        <v>43542.630000000005</v>
      </c>
      <c r="P864" t="str">
        <f>IF(TBL_Employees[[#This Row],[Age]]&gt;50,"Senior","Junior")</f>
        <v>Junior</v>
      </c>
      <c r="Q864" s="14" t="str">
        <f>IF(OR(D864="IT", J864&gt;100000), "YES", "NO")</f>
        <v>YES</v>
      </c>
      <c r="R864" s="14">
        <f>YEAR(TBL_Employees[[#This Row],[Hire Date]])</f>
        <v>2017</v>
      </c>
    </row>
    <row r="865" spans="1:18" x14ac:dyDescent="0.35">
      <c r="A865" t="s">
        <v>1733</v>
      </c>
      <c r="B865" t="s">
        <v>1734</v>
      </c>
      <c r="C865" t="s">
        <v>80</v>
      </c>
      <c r="D865" t="s">
        <v>81</v>
      </c>
      <c r="E865" t="s">
        <v>50</v>
      </c>
      <c r="F865" t="s">
        <v>19</v>
      </c>
      <c r="G865" t="s">
        <v>86</v>
      </c>
      <c r="H865">
        <v>32</v>
      </c>
      <c r="I865" s="5">
        <v>41675</v>
      </c>
      <c r="J865" s="11">
        <v>203445</v>
      </c>
      <c r="K865" s="6">
        <v>0.34</v>
      </c>
      <c r="L865" t="s">
        <v>94</v>
      </c>
      <c r="M865" t="s">
        <v>95</v>
      </c>
      <c r="N865" s="5" t="s">
        <v>31</v>
      </c>
      <c r="O865">
        <f>TBL_Employees[[#This Row],[Bonus %]]*TBL_Employees[[#This Row],[Annual Salary]]</f>
        <v>69171.3</v>
      </c>
      <c r="P865" t="str">
        <f>IF(TBL_Employees[[#This Row],[Age]]&gt;50,"Senior","Junior")</f>
        <v>Junior</v>
      </c>
      <c r="Q865" s="14" t="str">
        <f>IF(OR(D865="IT", J865&gt;100000), "YES", "NO")</f>
        <v>YES</v>
      </c>
      <c r="R865" s="14">
        <f>YEAR(TBL_Employees[[#This Row],[Hire Date]])</f>
        <v>2014</v>
      </c>
    </row>
    <row r="866" spans="1:18" x14ac:dyDescent="0.35">
      <c r="A866" t="s">
        <v>1735</v>
      </c>
      <c r="B866" t="s">
        <v>1736</v>
      </c>
      <c r="C866" t="s">
        <v>16</v>
      </c>
      <c r="D866" t="s">
        <v>66</v>
      </c>
      <c r="E866" t="s">
        <v>18</v>
      </c>
      <c r="F866" t="s">
        <v>19</v>
      </c>
      <c r="G866" t="s">
        <v>28</v>
      </c>
      <c r="H866">
        <v>37</v>
      </c>
      <c r="I866" s="5">
        <v>40560</v>
      </c>
      <c r="J866" s="11">
        <v>131353</v>
      </c>
      <c r="K866" s="6">
        <v>0.11</v>
      </c>
      <c r="L866" t="s">
        <v>29</v>
      </c>
      <c r="M866" t="s">
        <v>75</v>
      </c>
      <c r="N866" s="5" t="s">
        <v>31</v>
      </c>
      <c r="O866">
        <f>TBL_Employees[[#This Row],[Bonus %]]*TBL_Employees[[#This Row],[Annual Salary]]</f>
        <v>14448.83</v>
      </c>
      <c r="P866" t="str">
        <f>IF(TBL_Employees[[#This Row],[Age]]&gt;50,"Senior","Junior")</f>
        <v>Junior</v>
      </c>
      <c r="Q866" s="14" t="str">
        <f>IF(OR(D866="IT", J866&gt;100000), "YES", "NO")</f>
        <v>YES</v>
      </c>
      <c r="R866" s="14">
        <f>YEAR(TBL_Employees[[#This Row],[Hire Date]])</f>
        <v>2011</v>
      </c>
    </row>
    <row r="867" spans="1:18" x14ac:dyDescent="0.35">
      <c r="A867" t="s">
        <v>1737</v>
      </c>
      <c r="B867" t="s">
        <v>1738</v>
      </c>
      <c r="C867" t="s">
        <v>463</v>
      </c>
      <c r="D867" t="s">
        <v>17</v>
      </c>
      <c r="E867" t="s">
        <v>26</v>
      </c>
      <c r="F867" t="s">
        <v>27</v>
      </c>
      <c r="G867" t="s">
        <v>28</v>
      </c>
      <c r="H867">
        <v>45</v>
      </c>
      <c r="I867" s="5">
        <v>40253</v>
      </c>
      <c r="J867" s="11">
        <v>88182</v>
      </c>
      <c r="K867" s="6">
        <v>0</v>
      </c>
      <c r="L867" t="s">
        <v>29</v>
      </c>
      <c r="M867" t="s">
        <v>135</v>
      </c>
      <c r="N867" s="5" t="s">
        <v>31</v>
      </c>
      <c r="O867">
        <f>TBL_Employees[[#This Row],[Bonus %]]*TBL_Employees[[#This Row],[Annual Salary]]</f>
        <v>0</v>
      </c>
      <c r="P867" t="str">
        <f>IF(TBL_Employees[[#This Row],[Age]]&gt;50,"Senior","Junior")</f>
        <v>Junior</v>
      </c>
      <c r="Q867" s="14" t="str">
        <f>IF(OR(D867="IT", J867&gt;100000), "YES", "NO")</f>
        <v>YES</v>
      </c>
      <c r="R867" s="14">
        <f>YEAR(TBL_Employees[[#This Row],[Hire Date]])</f>
        <v>2010</v>
      </c>
    </row>
    <row r="868" spans="1:18" x14ac:dyDescent="0.35">
      <c r="A868" t="s">
        <v>1739</v>
      </c>
      <c r="B868" t="s">
        <v>1740</v>
      </c>
      <c r="C868" t="s">
        <v>132</v>
      </c>
      <c r="D868" t="s">
        <v>17</v>
      </c>
      <c r="E868" t="s">
        <v>36</v>
      </c>
      <c r="F868" t="s">
        <v>27</v>
      </c>
      <c r="G868" t="s">
        <v>37</v>
      </c>
      <c r="H868">
        <v>61</v>
      </c>
      <c r="I868" s="5">
        <v>43703</v>
      </c>
      <c r="J868" s="11">
        <v>75780</v>
      </c>
      <c r="K868" s="6">
        <v>0</v>
      </c>
      <c r="L868" t="s">
        <v>21</v>
      </c>
      <c r="M868" t="s">
        <v>22</v>
      </c>
      <c r="N868" s="5" t="s">
        <v>31</v>
      </c>
      <c r="O868">
        <f>TBL_Employees[[#This Row],[Bonus %]]*TBL_Employees[[#This Row],[Annual Salary]]</f>
        <v>0</v>
      </c>
      <c r="P868" t="str">
        <f>IF(TBL_Employees[[#This Row],[Age]]&gt;50,"Senior","Junior")</f>
        <v>Senior</v>
      </c>
      <c r="Q868" s="14" t="str">
        <f>IF(OR(D868="IT", J868&gt;100000), "YES", "NO")</f>
        <v>YES</v>
      </c>
      <c r="R868" s="14">
        <f>YEAR(TBL_Employees[[#This Row],[Hire Date]])</f>
        <v>2019</v>
      </c>
    </row>
    <row r="869" spans="1:18" x14ac:dyDescent="0.35">
      <c r="A869" t="s">
        <v>1741</v>
      </c>
      <c r="B869" t="s">
        <v>1742</v>
      </c>
      <c r="C869" t="s">
        <v>125</v>
      </c>
      <c r="D869" t="s">
        <v>49</v>
      </c>
      <c r="E869" t="s">
        <v>18</v>
      </c>
      <c r="F869" t="s">
        <v>19</v>
      </c>
      <c r="G869" t="s">
        <v>28</v>
      </c>
      <c r="H869">
        <v>45</v>
      </c>
      <c r="I869" s="5">
        <v>43557</v>
      </c>
      <c r="J869" s="11">
        <v>52621</v>
      </c>
      <c r="K869" s="6">
        <v>0</v>
      </c>
      <c r="L869" t="s">
        <v>29</v>
      </c>
      <c r="M869" t="s">
        <v>115</v>
      </c>
      <c r="N869" s="5" t="s">
        <v>31</v>
      </c>
      <c r="O869">
        <f>TBL_Employees[[#This Row],[Bonus %]]*TBL_Employees[[#This Row],[Annual Salary]]</f>
        <v>0</v>
      </c>
      <c r="P869" t="str">
        <f>IF(TBL_Employees[[#This Row],[Age]]&gt;50,"Senior","Junior")</f>
        <v>Junior</v>
      </c>
      <c r="Q869" s="14" t="str">
        <f>IF(OR(D869="IT", J869&gt;100000), "YES", "NO")</f>
        <v>NO</v>
      </c>
      <c r="R869" s="14">
        <f>YEAR(TBL_Employees[[#This Row],[Hire Date]])</f>
        <v>2019</v>
      </c>
    </row>
    <row r="870" spans="1:18" x14ac:dyDescent="0.35">
      <c r="A870" t="s">
        <v>1743</v>
      </c>
      <c r="B870" t="s">
        <v>1744</v>
      </c>
      <c r="C870" t="s">
        <v>114</v>
      </c>
      <c r="D870" t="s">
        <v>70</v>
      </c>
      <c r="E870" t="s">
        <v>18</v>
      </c>
      <c r="F870" t="s">
        <v>27</v>
      </c>
      <c r="G870" t="s">
        <v>28</v>
      </c>
      <c r="H870">
        <v>60</v>
      </c>
      <c r="I870" s="5">
        <v>43146</v>
      </c>
      <c r="J870" s="11">
        <v>106079</v>
      </c>
      <c r="K870" s="6">
        <v>0.14000000000000001</v>
      </c>
      <c r="L870" t="s">
        <v>21</v>
      </c>
      <c r="M870" t="s">
        <v>61</v>
      </c>
      <c r="N870" s="5">
        <v>44295</v>
      </c>
      <c r="O870">
        <f>TBL_Employees[[#This Row],[Bonus %]]*TBL_Employees[[#This Row],[Annual Salary]]</f>
        <v>14851.060000000001</v>
      </c>
      <c r="P870" t="str">
        <f>IF(TBL_Employees[[#This Row],[Age]]&gt;50,"Senior","Junior")</f>
        <v>Senior</v>
      </c>
      <c r="Q870" s="14" t="str">
        <f>IF(OR(D870="IT", J870&gt;100000), "YES", "NO")</f>
        <v>YES</v>
      </c>
      <c r="R870" s="14">
        <f>YEAR(TBL_Employees[[#This Row],[Hire Date]])</f>
        <v>2018</v>
      </c>
    </row>
    <row r="871" spans="1:18" x14ac:dyDescent="0.35">
      <c r="A871" t="s">
        <v>1745</v>
      </c>
      <c r="B871" t="s">
        <v>1746</v>
      </c>
      <c r="C871" t="s">
        <v>208</v>
      </c>
      <c r="D871" t="s">
        <v>17</v>
      </c>
      <c r="E871" t="s">
        <v>50</v>
      </c>
      <c r="F871" t="s">
        <v>27</v>
      </c>
      <c r="G871" t="s">
        <v>86</v>
      </c>
      <c r="H871">
        <v>30</v>
      </c>
      <c r="I871" s="5">
        <v>42777</v>
      </c>
      <c r="J871" s="11">
        <v>92058</v>
      </c>
      <c r="K871" s="6">
        <v>0</v>
      </c>
      <c r="L871" t="s">
        <v>21</v>
      </c>
      <c r="M871" t="s">
        <v>61</v>
      </c>
      <c r="N871" s="5" t="s">
        <v>31</v>
      </c>
      <c r="O871">
        <f>TBL_Employees[[#This Row],[Bonus %]]*TBL_Employees[[#This Row],[Annual Salary]]</f>
        <v>0</v>
      </c>
      <c r="P871" t="str">
        <f>IF(TBL_Employees[[#This Row],[Age]]&gt;50,"Senior","Junior")</f>
        <v>Junior</v>
      </c>
      <c r="Q871" s="14" t="str">
        <f>IF(OR(D871="IT", J871&gt;100000), "YES", "NO")</f>
        <v>YES</v>
      </c>
      <c r="R871" s="14">
        <f>YEAR(TBL_Employees[[#This Row],[Hire Date]])</f>
        <v>2017</v>
      </c>
    </row>
    <row r="872" spans="1:18" x14ac:dyDescent="0.35">
      <c r="A872" t="s">
        <v>1747</v>
      </c>
      <c r="B872" t="s">
        <v>1748</v>
      </c>
      <c r="C872" t="s">
        <v>176</v>
      </c>
      <c r="D872" t="s">
        <v>70</v>
      </c>
      <c r="E872" t="s">
        <v>26</v>
      </c>
      <c r="F872" t="s">
        <v>27</v>
      </c>
      <c r="G872" t="s">
        <v>28</v>
      </c>
      <c r="H872">
        <v>64</v>
      </c>
      <c r="I872" s="5">
        <v>43527</v>
      </c>
      <c r="J872" s="11">
        <v>67114</v>
      </c>
      <c r="K872" s="6">
        <v>0</v>
      </c>
      <c r="L872" t="s">
        <v>21</v>
      </c>
      <c r="M872" t="s">
        <v>45</v>
      </c>
      <c r="N872" s="5" t="s">
        <v>31</v>
      </c>
      <c r="O872">
        <f>TBL_Employees[[#This Row],[Bonus %]]*TBL_Employees[[#This Row],[Annual Salary]]</f>
        <v>0</v>
      </c>
      <c r="P872" t="str">
        <f>IF(TBL_Employees[[#This Row],[Age]]&gt;50,"Senior","Junior")</f>
        <v>Senior</v>
      </c>
      <c r="Q872" s="14" t="str">
        <f>IF(OR(D872="IT", J872&gt;100000), "YES", "NO")</f>
        <v>NO</v>
      </c>
      <c r="R872" s="14">
        <f>YEAR(TBL_Employees[[#This Row],[Hire Date]])</f>
        <v>2019</v>
      </c>
    </row>
    <row r="873" spans="1:18" x14ac:dyDescent="0.35">
      <c r="A873" t="s">
        <v>1749</v>
      </c>
      <c r="B873" t="s">
        <v>1750</v>
      </c>
      <c r="C873" t="s">
        <v>125</v>
      </c>
      <c r="D873" t="s">
        <v>35</v>
      </c>
      <c r="E873" t="s">
        <v>18</v>
      </c>
      <c r="F873" t="s">
        <v>19</v>
      </c>
      <c r="G873" t="s">
        <v>86</v>
      </c>
      <c r="H873">
        <v>25</v>
      </c>
      <c r="I873" s="5">
        <v>44024</v>
      </c>
      <c r="J873" s="11">
        <v>56565</v>
      </c>
      <c r="K873" s="6">
        <v>0</v>
      </c>
      <c r="L873" t="s">
        <v>94</v>
      </c>
      <c r="M873" t="s">
        <v>219</v>
      </c>
      <c r="N873" s="5" t="s">
        <v>31</v>
      </c>
      <c r="O873">
        <f>TBL_Employees[[#This Row],[Bonus %]]*TBL_Employees[[#This Row],[Annual Salary]]</f>
        <v>0</v>
      </c>
      <c r="P873" t="str">
        <f>IF(TBL_Employees[[#This Row],[Age]]&gt;50,"Senior","Junior")</f>
        <v>Junior</v>
      </c>
      <c r="Q873" s="14" t="str">
        <f>IF(OR(D873="IT", J873&gt;100000), "YES", "NO")</f>
        <v>NO</v>
      </c>
      <c r="R873" s="14">
        <f>YEAR(TBL_Employees[[#This Row],[Hire Date]])</f>
        <v>2020</v>
      </c>
    </row>
    <row r="874" spans="1:18" x14ac:dyDescent="0.35">
      <c r="A874" t="s">
        <v>1751</v>
      </c>
      <c r="B874" t="s">
        <v>1752</v>
      </c>
      <c r="C874" t="s">
        <v>165</v>
      </c>
      <c r="D874" t="s">
        <v>66</v>
      </c>
      <c r="E874" t="s">
        <v>26</v>
      </c>
      <c r="F874" t="s">
        <v>19</v>
      </c>
      <c r="G874" t="s">
        <v>37</v>
      </c>
      <c r="H874">
        <v>61</v>
      </c>
      <c r="I874" s="5">
        <v>40683</v>
      </c>
      <c r="J874" s="11">
        <v>64937</v>
      </c>
      <c r="K874" s="6">
        <v>0</v>
      </c>
      <c r="L874" t="s">
        <v>21</v>
      </c>
      <c r="M874" t="s">
        <v>45</v>
      </c>
      <c r="N874" s="5" t="s">
        <v>31</v>
      </c>
      <c r="O874">
        <f>TBL_Employees[[#This Row],[Bonus %]]*TBL_Employees[[#This Row],[Annual Salary]]</f>
        <v>0</v>
      </c>
      <c r="P874" t="str">
        <f>IF(TBL_Employees[[#This Row],[Age]]&gt;50,"Senior","Junior")</f>
        <v>Senior</v>
      </c>
      <c r="Q874" s="14" t="str">
        <f>IF(OR(D874="IT", J874&gt;100000), "YES", "NO")</f>
        <v>NO</v>
      </c>
      <c r="R874" s="14">
        <f>YEAR(TBL_Employees[[#This Row],[Hire Date]])</f>
        <v>2011</v>
      </c>
    </row>
    <row r="875" spans="1:18" x14ac:dyDescent="0.35">
      <c r="A875" t="s">
        <v>1753</v>
      </c>
      <c r="B875" t="s">
        <v>1754</v>
      </c>
      <c r="C875" t="s">
        <v>53</v>
      </c>
      <c r="D875" t="s">
        <v>81</v>
      </c>
      <c r="E875" t="s">
        <v>26</v>
      </c>
      <c r="F875" t="s">
        <v>19</v>
      </c>
      <c r="G875" t="s">
        <v>86</v>
      </c>
      <c r="H875">
        <v>65</v>
      </c>
      <c r="I875" s="5">
        <v>38967</v>
      </c>
      <c r="J875" s="11">
        <v>127626</v>
      </c>
      <c r="K875" s="6">
        <v>0.1</v>
      </c>
      <c r="L875" t="s">
        <v>21</v>
      </c>
      <c r="M875" t="s">
        <v>57</v>
      </c>
      <c r="N875" s="5" t="s">
        <v>31</v>
      </c>
      <c r="O875">
        <f>TBL_Employees[[#This Row],[Bonus %]]*TBL_Employees[[#This Row],[Annual Salary]]</f>
        <v>12762.6</v>
      </c>
      <c r="P875" t="str">
        <f>IF(TBL_Employees[[#This Row],[Age]]&gt;50,"Senior","Junior")</f>
        <v>Senior</v>
      </c>
      <c r="Q875" s="14" t="str">
        <f>IF(OR(D875="IT", J875&gt;100000), "YES", "NO")</f>
        <v>YES</v>
      </c>
      <c r="R875" s="14">
        <f>YEAR(TBL_Employees[[#This Row],[Hire Date]])</f>
        <v>2006</v>
      </c>
    </row>
    <row r="876" spans="1:18" x14ac:dyDescent="0.35">
      <c r="A876" t="s">
        <v>1755</v>
      </c>
      <c r="B876" t="s">
        <v>1756</v>
      </c>
      <c r="C876" t="s">
        <v>249</v>
      </c>
      <c r="D876" t="s">
        <v>17</v>
      </c>
      <c r="E876" t="s">
        <v>50</v>
      </c>
      <c r="F876" t="s">
        <v>27</v>
      </c>
      <c r="G876" t="s">
        <v>20</v>
      </c>
      <c r="H876">
        <v>61</v>
      </c>
      <c r="I876" s="5">
        <v>38013</v>
      </c>
      <c r="J876" s="11">
        <v>88478</v>
      </c>
      <c r="K876" s="6">
        <v>0</v>
      </c>
      <c r="L876" t="s">
        <v>21</v>
      </c>
      <c r="M876" t="s">
        <v>61</v>
      </c>
      <c r="N876" s="5" t="s">
        <v>31</v>
      </c>
      <c r="O876">
        <f>TBL_Employees[[#This Row],[Bonus %]]*TBL_Employees[[#This Row],[Annual Salary]]</f>
        <v>0</v>
      </c>
      <c r="P876" t="str">
        <f>IF(TBL_Employees[[#This Row],[Age]]&gt;50,"Senior","Junior")</f>
        <v>Senior</v>
      </c>
      <c r="Q876" s="14" t="str">
        <f>IF(OR(D876="IT", J876&gt;100000), "YES", "NO")</f>
        <v>YES</v>
      </c>
      <c r="R876" s="14">
        <f>YEAR(TBL_Employees[[#This Row],[Hire Date]])</f>
        <v>2004</v>
      </c>
    </row>
    <row r="877" spans="1:18" x14ac:dyDescent="0.35">
      <c r="A877" t="s">
        <v>1757</v>
      </c>
      <c r="B877" t="s">
        <v>1758</v>
      </c>
      <c r="C877" t="s">
        <v>41</v>
      </c>
      <c r="D877" t="s">
        <v>17</v>
      </c>
      <c r="E877" t="s">
        <v>36</v>
      </c>
      <c r="F877" t="s">
        <v>19</v>
      </c>
      <c r="G877" t="s">
        <v>28</v>
      </c>
      <c r="H877">
        <v>48</v>
      </c>
      <c r="I877" s="5">
        <v>41749</v>
      </c>
      <c r="J877" s="11">
        <v>91679</v>
      </c>
      <c r="K877" s="6">
        <v>7.0000000000000007E-2</v>
      </c>
      <c r="L877" t="s">
        <v>29</v>
      </c>
      <c r="M877" t="s">
        <v>30</v>
      </c>
      <c r="N877" s="5" t="s">
        <v>31</v>
      </c>
      <c r="O877">
        <f>TBL_Employees[[#This Row],[Bonus %]]*TBL_Employees[[#This Row],[Annual Salary]]</f>
        <v>6417.5300000000007</v>
      </c>
      <c r="P877" t="str">
        <f>IF(TBL_Employees[[#This Row],[Age]]&gt;50,"Senior","Junior")</f>
        <v>Junior</v>
      </c>
      <c r="Q877" s="14" t="str">
        <f>IF(OR(D877="IT", J877&gt;100000), "YES", "NO")</f>
        <v>YES</v>
      </c>
      <c r="R877" s="14">
        <f>YEAR(TBL_Employees[[#This Row],[Hire Date]])</f>
        <v>2014</v>
      </c>
    </row>
    <row r="878" spans="1:18" x14ac:dyDescent="0.35">
      <c r="A878" t="s">
        <v>1759</v>
      </c>
      <c r="B878" t="s">
        <v>1760</v>
      </c>
      <c r="C878" t="s">
        <v>34</v>
      </c>
      <c r="D878" t="s">
        <v>49</v>
      </c>
      <c r="E878" t="s">
        <v>50</v>
      </c>
      <c r="F878" t="s">
        <v>27</v>
      </c>
      <c r="G878" t="s">
        <v>28</v>
      </c>
      <c r="H878">
        <v>58</v>
      </c>
      <c r="I878" s="5">
        <v>33682</v>
      </c>
      <c r="J878" s="11">
        <v>199848</v>
      </c>
      <c r="K878" s="6">
        <v>0.16</v>
      </c>
      <c r="L878" t="s">
        <v>29</v>
      </c>
      <c r="M878" t="s">
        <v>30</v>
      </c>
      <c r="N878" s="5" t="s">
        <v>31</v>
      </c>
      <c r="O878">
        <f>TBL_Employees[[#This Row],[Bonus %]]*TBL_Employees[[#This Row],[Annual Salary]]</f>
        <v>31975.68</v>
      </c>
      <c r="P878" t="str">
        <f>IF(TBL_Employees[[#This Row],[Age]]&gt;50,"Senior","Junior")</f>
        <v>Senior</v>
      </c>
      <c r="Q878" s="14" t="str">
        <f>IF(OR(D878="IT", J878&gt;100000), "YES", "NO")</f>
        <v>YES</v>
      </c>
      <c r="R878" s="14">
        <f>YEAR(TBL_Employees[[#This Row],[Hire Date]])</f>
        <v>1992</v>
      </c>
    </row>
    <row r="879" spans="1:18" x14ac:dyDescent="0.35">
      <c r="A879" t="s">
        <v>1761</v>
      </c>
      <c r="B879" t="s">
        <v>1762</v>
      </c>
      <c r="C879" t="s">
        <v>252</v>
      </c>
      <c r="D879" t="s">
        <v>17</v>
      </c>
      <c r="E879" t="s">
        <v>26</v>
      </c>
      <c r="F879" t="s">
        <v>27</v>
      </c>
      <c r="G879" t="s">
        <v>28</v>
      </c>
      <c r="H879">
        <v>34</v>
      </c>
      <c r="I879" s="5">
        <v>43414</v>
      </c>
      <c r="J879" s="11">
        <v>61944</v>
      </c>
      <c r="K879" s="6">
        <v>0</v>
      </c>
      <c r="L879" t="s">
        <v>29</v>
      </c>
      <c r="M879" t="s">
        <v>75</v>
      </c>
      <c r="N879" s="5" t="s">
        <v>31</v>
      </c>
      <c r="O879">
        <f>TBL_Employees[[#This Row],[Bonus %]]*TBL_Employees[[#This Row],[Annual Salary]]</f>
        <v>0</v>
      </c>
      <c r="P879" t="str">
        <f>IF(TBL_Employees[[#This Row],[Age]]&gt;50,"Senior","Junior")</f>
        <v>Junior</v>
      </c>
      <c r="Q879" s="14" t="str">
        <f>IF(OR(D879="IT", J879&gt;100000), "YES", "NO")</f>
        <v>YES</v>
      </c>
      <c r="R879" s="14">
        <f>YEAR(TBL_Employees[[#This Row],[Hire Date]])</f>
        <v>2018</v>
      </c>
    </row>
    <row r="880" spans="1:18" x14ac:dyDescent="0.35">
      <c r="A880" t="s">
        <v>1763</v>
      </c>
      <c r="B880" t="s">
        <v>1764</v>
      </c>
      <c r="C880" t="s">
        <v>16</v>
      </c>
      <c r="D880" t="s">
        <v>49</v>
      </c>
      <c r="E880" t="s">
        <v>36</v>
      </c>
      <c r="F880" t="s">
        <v>19</v>
      </c>
      <c r="G880" t="s">
        <v>20</v>
      </c>
      <c r="H880">
        <v>30</v>
      </c>
      <c r="I880" s="5">
        <v>42960</v>
      </c>
      <c r="J880" s="11">
        <v>154624</v>
      </c>
      <c r="K880" s="6">
        <v>0.15</v>
      </c>
      <c r="L880" t="s">
        <v>21</v>
      </c>
      <c r="M880" t="s">
        <v>61</v>
      </c>
      <c r="N880" s="5" t="s">
        <v>31</v>
      </c>
      <c r="O880">
        <f>TBL_Employees[[#This Row],[Bonus %]]*TBL_Employees[[#This Row],[Annual Salary]]</f>
        <v>23193.599999999999</v>
      </c>
      <c r="P880" t="str">
        <f>IF(TBL_Employees[[#This Row],[Age]]&gt;50,"Senior","Junior")</f>
        <v>Junior</v>
      </c>
      <c r="Q880" s="14" t="str">
        <f>IF(OR(D880="IT", J880&gt;100000), "YES", "NO")</f>
        <v>YES</v>
      </c>
      <c r="R880" s="14">
        <f>YEAR(TBL_Employees[[#This Row],[Hire Date]])</f>
        <v>2017</v>
      </c>
    </row>
    <row r="881" spans="1:18" x14ac:dyDescent="0.35">
      <c r="A881" t="s">
        <v>1765</v>
      </c>
      <c r="B881" t="s">
        <v>1766</v>
      </c>
      <c r="C881" t="s">
        <v>44</v>
      </c>
      <c r="D881" t="s">
        <v>60</v>
      </c>
      <c r="E881" t="s">
        <v>18</v>
      </c>
      <c r="F881" t="s">
        <v>27</v>
      </c>
      <c r="G881" t="s">
        <v>28</v>
      </c>
      <c r="H881">
        <v>50</v>
      </c>
      <c r="I881" s="5">
        <v>40109</v>
      </c>
      <c r="J881" s="11">
        <v>79447</v>
      </c>
      <c r="K881" s="6">
        <v>0</v>
      </c>
      <c r="L881" t="s">
        <v>29</v>
      </c>
      <c r="M881" t="s">
        <v>75</v>
      </c>
      <c r="N881" s="5" t="s">
        <v>31</v>
      </c>
      <c r="O881">
        <f>TBL_Employees[[#This Row],[Bonus %]]*TBL_Employees[[#This Row],[Annual Salary]]</f>
        <v>0</v>
      </c>
      <c r="P881" t="str">
        <f>IF(TBL_Employees[[#This Row],[Age]]&gt;50,"Senior","Junior")</f>
        <v>Junior</v>
      </c>
      <c r="Q881" s="14" t="str">
        <f>IF(OR(D881="IT", J881&gt;100000), "YES", "NO")</f>
        <v>NO</v>
      </c>
      <c r="R881" s="14">
        <f>YEAR(TBL_Employees[[#This Row],[Hire Date]])</f>
        <v>2009</v>
      </c>
    </row>
    <row r="882" spans="1:18" x14ac:dyDescent="0.35">
      <c r="A882" t="s">
        <v>1767</v>
      </c>
      <c r="B882" t="s">
        <v>1768</v>
      </c>
      <c r="C882" t="s">
        <v>44</v>
      </c>
      <c r="D882" t="s">
        <v>49</v>
      </c>
      <c r="E882" t="s">
        <v>26</v>
      </c>
      <c r="F882" t="s">
        <v>27</v>
      </c>
      <c r="G882" t="s">
        <v>86</v>
      </c>
      <c r="H882">
        <v>51</v>
      </c>
      <c r="I882" s="5">
        <v>35852</v>
      </c>
      <c r="J882" s="11">
        <v>71111</v>
      </c>
      <c r="K882" s="6">
        <v>0</v>
      </c>
      <c r="L882" t="s">
        <v>94</v>
      </c>
      <c r="M882" t="s">
        <v>100</v>
      </c>
      <c r="N882" s="5" t="s">
        <v>31</v>
      </c>
      <c r="O882">
        <f>TBL_Employees[[#This Row],[Bonus %]]*TBL_Employees[[#This Row],[Annual Salary]]</f>
        <v>0</v>
      </c>
      <c r="P882" t="str">
        <f>IF(TBL_Employees[[#This Row],[Age]]&gt;50,"Senior","Junior")</f>
        <v>Senior</v>
      </c>
      <c r="Q882" s="14" t="str">
        <f>IF(OR(D882="IT", J882&gt;100000), "YES", "NO")</f>
        <v>NO</v>
      </c>
      <c r="R882" s="14">
        <f>YEAR(TBL_Employees[[#This Row],[Hire Date]])</f>
        <v>1998</v>
      </c>
    </row>
    <row r="883" spans="1:18" x14ac:dyDescent="0.35">
      <c r="A883" t="s">
        <v>1769</v>
      </c>
      <c r="B883" t="s">
        <v>1770</v>
      </c>
      <c r="C883" t="s">
        <v>16</v>
      </c>
      <c r="D883" t="s">
        <v>49</v>
      </c>
      <c r="E883" t="s">
        <v>18</v>
      </c>
      <c r="F883" t="s">
        <v>27</v>
      </c>
      <c r="G883" t="s">
        <v>37</v>
      </c>
      <c r="H883">
        <v>53</v>
      </c>
      <c r="I883" s="5">
        <v>41931</v>
      </c>
      <c r="J883" s="11">
        <v>159538</v>
      </c>
      <c r="K883" s="6">
        <v>0.11</v>
      </c>
      <c r="L883" t="s">
        <v>21</v>
      </c>
      <c r="M883" t="s">
        <v>57</v>
      </c>
      <c r="N883" s="5" t="s">
        <v>31</v>
      </c>
      <c r="O883">
        <f>TBL_Employees[[#This Row],[Bonus %]]*TBL_Employees[[#This Row],[Annual Salary]]</f>
        <v>17549.18</v>
      </c>
      <c r="P883" t="str">
        <f>IF(TBL_Employees[[#This Row],[Age]]&gt;50,"Senior","Junior")</f>
        <v>Senior</v>
      </c>
      <c r="Q883" s="14" t="str">
        <f>IF(OR(D883="IT", J883&gt;100000), "YES", "NO")</f>
        <v>YES</v>
      </c>
      <c r="R883" s="14">
        <f>YEAR(TBL_Employees[[#This Row],[Hire Date]])</f>
        <v>2014</v>
      </c>
    </row>
    <row r="884" spans="1:18" x14ac:dyDescent="0.35">
      <c r="A884" t="s">
        <v>1381</v>
      </c>
      <c r="B884" t="s">
        <v>1771</v>
      </c>
      <c r="C884" t="s">
        <v>69</v>
      </c>
      <c r="D884" t="s">
        <v>70</v>
      </c>
      <c r="E884" t="s">
        <v>50</v>
      </c>
      <c r="F884" t="s">
        <v>19</v>
      </c>
      <c r="G884" t="s">
        <v>86</v>
      </c>
      <c r="H884">
        <v>47</v>
      </c>
      <c r="I884" s="5">
        <v>43375</v>
      </c>
      <c r="J884" s="11">
        <v>111404</v>
      </c>
      <c r="K884" s="6">
        <v>0</v>
      </c>
      <c r="L884" t="s">
        <v>94</v>
      </c>
      <c r="M884" t="s">
        <v>100</v>
      </c>
      <c r="N884" s="5" t="s">
        <v>31</v>
      </c>
      <c r="O884">
        <f>TBL_Employees[[#This Row],[Bonus %]]*TBL_Employees[[#This Row],[Annual Salary]]</f>
        <v>0</v>
      </c>
      <c r="P884" t="str">
        <f>IF(TBL_Employees[[#This Row],[Age]]&gt;50,"Senior","Junior")</f>
        <v>Junior</v>
      </c>
      <c r="Q884" s="14" t="str">
        <f>IF(OR(D884="IT", J884&gt;100000), "YES", "NO")</f>
        <v>YES</v>
      </c>
      <c r="R884" s="14">
        <f>YEAR(TBL_Employees[[#This Row],[Hire Date]])</f>
        <v>2018</v>
      </c>
    </row>
    <row r="885" spans="1:18" x14ac:dyDescent="0.35">
      <c r="A885" t="s">
        <v>1772</v>
      </c>
      <c r="B885" t="s">
        <v>1773</v>
      </c>
      <c r="C885" t="s">
        <v>34</v>
      </c>
      <c r="D885" t="s">
        <v>81</v>
      </c>
      <c r="E885" t="s">
        <v>36</v>
      </c>
      <c r="F885" t="s">
        <v>27</v>
      </c>
      <c r="G885" t="s">
        <v>37</v>
      </c>
      <c r="H885">
        <v>25</v>
      </c>
      <c r="I885" s="5">
        <v>44058</v>
      </c>
      <c r="J885" s="11">
        <v>172007</v>
      </c>
      <c r="K885" s="6">
        <v>0.26</v>
      </c>
      <c r="L885" t="s">
        <v>21</v>
      </c>
      <c r="M885" t="s">
        <v>57</v>
      </c>
      <c r="N885" s="5" t="s">
        <v>31</v>
      </c>
      <c r="O885">
        <f>TBL_Employees[[#This Row],[Bonus %]]*TBL_Employees[[#This Row],[Annual Salary]]</f>
        <v>44721.82</v>
      </c>
      <c r="P885" t="str">
        <f>IF(TBL_Employees[[#This Row],[Age]]&gt;50,"Senior","Junior")</f>
        <v>Junior</v>
      </c>
      <c r="Q885" s="14" t="str">
        <f>IF(OR(D885="IT", J885&gt;100000), "YES", "NO")</f>
        <v>YES</v>
      </c>
      <c r="R885" s="14">
        <f>YEAR(TBL_Employees[[#This Row],[Hire Date]])</f>
        <v>2020</v>
      </c>
    </row>
    <row r="886" spans="1:18" x14ac:dyDescent="0.35">
      <c r="A886" t="s">
        <v>1774</v>
      </c>
      <c r="B886" t="s">
        <v>1775</v>
      </c>
      <c r="C886" t="s">
        <v>80</v>
      </c>
      <c r="D886" t="s">
        <v>81</v>
      </c>
      <c r="E886" t="s">
        <v>26</v>
      </c>
      <c r="F886" t="s">
        <v>19</v>
      </c>
      <c r="G886" t="s">
        <v>86</v>
      </c>
      <c r="H886">
        <v>37</v>
      </c>
      <c r="I886" s="5">
        <v>40745</v>
      </c>
      <c r="J886" s="11">
        <v>219474</v>
      </c>
      <c r="K886" s="6">
        <v>0.36</v>
      </c>
      <c r="L886" t="s">
        <v>94</v>
      </c>
      <c r="M886" t="s">
        <v>95</v>
      </c>
      <c r="N886" s="5" t="s">
        <v>31</v>
      </c>
      <c r="O886">
        <f>TBL_Employees[[#This Row],[Bonus %]]*TBL_Employees[[#This Row],[Annual Salary]]</f>
        <v>79010.64</v>
      </c>
      <c r="P886" t="str">
        <f>IF(TBL_Employees[[#This Row],[Age]]&gt;50,"Senior","Junior")</f>
        <v>Junior</v>
      </c>
      <c r="Q886" s="14" t="str">
        <f>IF(OR(D886="IT", J886&gt;100000), "YES", "NO")</f>
        <v>YES</v>
      </c>
      <c r="R886" s="14">
        <f>YEAR(TBL_Employees[[#This Row],[Hire Date]])</f>
        <v>2011</v>
      </c>
    </row>
    <row r="887" spans="1:18" x14ac:dyDescent="0.35">
      <c r="A887" t="s">
        <v>1776</v>
      </c>
      <c r="B887" t="s">
        <v>1777</v>
      </c>
      <c r="C887" t="s">
        <v>34</v>
      </c>
      <c r="D887" t="s">
        <v>35</v>
      </c>
      <c r="E887" t="s">
        <v>50</v>
      </c>
      <c r="F887" t="s">
        <v>27</v>
      </c>
      <c r="G887" t="s">
        <v>37</v>
      </c>
      <c r="H887">
        <v>41</v>
      </c>
      <c r="I887" s="5">
        <v>43600</v>
      </c>
      <c r="J887" s="11">
        <v>174415</v>
      </c>
      <c r="K887" s="6">
        <v>0.23</v>
      </c>
      <c r="L887" t="s">
        <v>21</v>
      </c>
      <c r="M887" t="s">
        <v>57</v>
      </c>
      <c r="N887" s="5" t="s">
        <v>31</v>
      </c>
      <c r="O887">
        <f>TBL_Employees[[#This Row],[Bonus %]]*TBL_Employees[[#This Row],[Annual Salary]]</f>
        <v>40115.450000000004</v>
      </c>
      <c r="P887" t="str">
        <f>IF(TBL_Employees[[#This Row],[Age]]&gt;50,"Senior","Junior")</f>
        <v>Junior</v>
      </c>
      <c r="Q887" s="14" t="str">
        <f>IF(OR(D887="IT", J887&gt;100000), "YES", "NO")</f>
        <v>YES</v>
      </c>
      <c r="R887" s="14">
        <f>YEAR(TBL_Employees[[#This Row],[Hire Date]])</f>
        <v>2019</v>
      </c>
    </row>
    <row r="888" spans="1:18" x14ac:dyDescent="0.35">
      <c r="A888" t="s">
        <v>1778</v>
      </c>
      <c r="B888" t="s">
        <v>1779</v>
      </c>
      <c r="C888" t="s">
        <v>249</v>
      </c>
      <c r="D888" t="s">
        <v>17</v>
      </c>
      <c r="E888" t="s">
        <v>36</v>
      </c>
      <c r="F888" t="s">
        <v>19</v>
      </c>
      <c r="G888" t="s">
        <v>86</v>
      </c>
      <c r="H888">
        <v>36</v>
      </c>
      <c r="I888" s="5">
        <v>44217</v>
      </c>
      <c r="J888" s="11">
        <v>90333</v>
      </c>
      <c r="K888" s="6">
        <v>0</v>
      </c>
      <c r="L888" t="s">
        <v>94</v>
      </c>
      <c r="M888" t="s">
        <v>100</v>
      </c>
      <c r="N888" s="5" t="s">
        <v>31</v>
      </c>
      <c r="O888">
        <f>TBL_Employees[[#This Row],[Bonus %]]*TBL_Employees[[#This Row],[Annual Salary]]</f>
        <v>0</v>
      </c>
      <c r="P888" t="str">
        <f>IF(TBL_Employees[[#This Row],[Age]]&gt;50,"Senior","Junior")</f>
        <v>Junior</v>
      </c>
      <c r="Q888" s="14" t="str">
        <f>IF(OR(D888="IT", J888&gt;100000), "YES", "NO")</f>
        <v>YES</v>
      </c>
      <c r="R888" s="14">
        <f>YEAR(TBL_Employees[[#This Row],[Hire Date]])</f>
        <v>2021</v>
      </c>
    </row>
    <row r="889" spans="1:18" x14ac:dyDescent="0.35">
      <c r="A889" t="s">
        <v>1780</v>
      </c>
      <c r="B889" t="s">
        <v>1781</v>
      </c>
      <c r="C889" t="s">
        <v>165</v>
      </c>
      <c r="D889" t="s">
        <v>66</v>
      </c>
      <c r="E889" t="s">
        <v>36</v>
      </c>
      <c r="F889" t="s">
        <v>27</v>
      </c>
      <c r="G889" t="s">
        <v>28</v>
      </c>
      <c r="H889">
        <v>25</v>
      </c>
      <c r="I889" s="5">
        <v>44217</v>
      </c>
      <c r="J889" s="11">
        <v>67299</v>
      </c>
      <c r="K889" s="6">
        <v>0</v>
      </c>
      <c r="L889" t="s">
        <v>21</v>
      </c>
      <c r="M889" t="s">
        <v>45</v>
      </c>
      <c r="N889" s="5" t="s">
        <v>31</v>
      </c>
      <c r="O889">
        <f>TBL_Employees[[#This Row],[Bonus %]]*TBL_Employees[[#This Row],[Annual Salary]]</f>
        <v>0</v>
      </c>
      <c r="P889" t="str">
        <f>IF(TBL_Employees[[#This Row],[Age]]&gt;50,"Senior","Junior")</f>
        <v>Junior</v>
      </c>
      <c r="Q889" s="14" t="str">
        <f>IF(OR(D889="IT", J889&gt;100000), "YES", "NO")</f>
        <v>NO</v>
      </c>
      <c r="R889" s="14">
        <f>YEAR(TBL_Employees[[#This Row],[Hire Date]])</f>
        <v>2021</v>
      </c>
    </row>
    <row r="890" spans="1:18" x14ac:dyDescent="0.35">
      <c r="A890" t="s">
        <v>1782</v>
      </c>
      <c r="B890" t="s">
        <v>1783</v>
      </c>
      <c r="C890" t="s">
        <v>331</v>
      </c>
      <c r="D890" t="s">
        <v>17</v>
      </c>
      <c r="E890" t="s">
        <v>18</v>
      </c>
      <c r="F890" t="s">
        <v>19</v>
      </c>
      <c r="G890" t="s">
        <v>37</v>
      </c>
      <c r="H890">
        <v>52</v>
      </c>
      <c r="I890" s="5">
        <v>38406</v>
      </c>
      <c r="J890" s="11">
        <v>45286</v>
      </c>
      <c r="K890" s="6">
        <v>0</v>
      </c>
      <c r="L890" t="s">
        <v>21</v>
      </c>
      <c r="M890" t="s">
        <v>38</v>
      </c>
      <c r="N890" s="5" t="s">
        <v>31</v>
      </c>
      <c r="O890">
        <f>TBL_Employees[[#This Row],[Bonus %]]*TBL_Employees[[#This Row],[Annual Salary]]</f>
        <v>0</v>
      </c>
      <c r="P890" t="str">
        <f>IF(TBL_Employees[[#This Row],[Age]]&gt;50,"Senior","Junior")</f>
        <v>Senior</v>
      </c>
      <c r="Q890" s="14" t="str">
        <f>IF(OR(D890="IT", J890&gt;100000), "YES", "NO")</f>
        <v>YES</v>
      </c>
      <c r="R890" s="14">
        <f>YEAR(TBL_Employees[[#This Row],[Hire Date]])</f>
        <v>2005</v>
      </c>
    </row>
    <row r="891" spans="1:18" x14ac:dyDescent="0.35">
      <c r="A891" t="s">
        <v>1160</v>
      </c>
      <c r="B891" t="s">
        <v>1784</v>
      </c>
      <c r="C891" t="s">
        <v>34</v>
      </c>
      <c r="D891" t="s">
        <v>81</v>
      </c>
      <c r="E891" t="s">
        <v>18</v>
      </c>
      <c r="F891" t="s">
        <v>27</v>
      </c>
      <c r="G891" t="s">
        <v>37</v>
      </c>
      <c r="H891">
        <v>48</v>
      </c>
      <c r="I891" s="5">
        <v>39302</v>
      </c>
      <c r="J891" s="11">
        <v>194723</v>
      </c>
      <c r="K891" s="6">
        <v>0.25</v>
      </c>
      <c r="L891" t="s">
        <v>21</v>
      </c>
      <c r="M891" t="s">
        <v>45</v>
      </c>
      <c r="N891" s="5" t="s">
        <v>31</v>
      </c>
      <c r="O891">
        <f>TBL_Employees[[#This Row],[Bonus %]]*TBL_Employees[[#This Row],[Annual Salary]]</f>
        <v>48680.75</v>
      </c>
      <c r="P891" t="str">
        <f>IF(TBL_Employees[[#This Row],[Age]]&gt;50,"Senior","Junior")</f>
        <v>Junior</v>
      </c>
      <c r="Q891" s="14" t="str">
        <f>IF(OR(D891="IT", J891&gt;100000), "YES", "NO")</f>
        <v>YES</v>
      </c>
      <c r="R891" s="14">
        <f>YEAR(TBL_Employees[[#This Row],[Hire Date]])</f>
        <v>2007</v>
      </c>
    </row>
    <row r="892" spans="1:18" x14ac:dyDescent="0.35">
      <c r="A892" t="s">
        <v>1785</v>
      </c>
      <c r="B892" t="s">
        <v>1786</v>
      </c>
      <c r="C892" t="s">
        <v>53</v>
      </c>
      <c r="D892" t="s">
        <v>49</v>
      </c>
      <c r="E892" t="s">
        <v>18</v>
      </c>
      <c r="F892" t="s">
        <v>27</v>
      </c>
      <c r="G892" t="s">
        <v>28</v>
      </c>
      <c r="H892">
        <v>49</v>
      </c>
      <c r="I892" s="5">
        <v>41131</v>
      </c>
      <c r="J892" s="11">
        <v>109850</v>
      </c>
      <c r="K892" s="6">
        <v>7.0000000000000007E-2</v>
      </c>
      <c r="L892" t="s">
        <v>29</v>
      </c>
      <c r="M892" t="s">
        <v>115</v>
      </c>
      <c r="N892" s="5">
        <v>43865</v>
      </c>
      <c r="O892">
        <f>TBL_Employees[[#This Row],[Bonus %]]*TBL_Employees[[#This Row],[Annual Salary]]</f>
        <v>7689.5000000000009</v>
      </c>
      <c r="P892" t="str">
        <f>IF(TBL_Employees[[#This Row],[Age]]&gt;50,"Senior","Junior")</f>
        <v>Junior</v>
      </c>
      <c r="Q892" s="14" t="str">
        <f>IF(OR(D892="IT", J892&gt;100000), "YES", "NO")</f>
        <v>YES</v>
      </c>
      <c r="R892" s="14">
        <f>YEAR(TBL_Employees[[#This Row],[Hire Date]])</f>
        <v>2012</v>
      </c>
    </row>
    <row r="893" spans="1:18" x14ac:dyDescent="0.35">
      <c r="A893" t="s">
        <v>1787</v>
      </c>
      <c r="B893" t="s">
        <v>1788</v>
      </c>
      <c r="C893" t="s">
        <v>185</v>
      </c>
      <c r="D893" t="s">
        <v>66</v>
      </c>
      <c r="E893" t="s">
        <v>18</v>
      </c>
      <c r="F893" t="s">
        <v>19</v>
      </c>
      <c r="G893" t="s">
        <v>86</v>
      </c>
      <c r="H893">
        <v>62</v>
      </c>
      <c r="I893" s="5">
        <v>41748</v>
      </c>
      <c r="J893" s="11">
        <v>45295</v>
      </c>
      <c r="K893" s="6">
        <v>0</v>
      </c>
      <c r="L893" t="s">
        <v>94</v>
      </c>
      <c r="M893" t="s">
        <v>219</v>
      </c>
      <c r="N893" s="5" t="s">
        <v>31</v>
      </c>
      <c r="O893">
        <f>TBL_Employees[[#This Row],[Bonus %]]*TBL_Employees[[#This Row],[Annual Salary]]</f>
        <v>0</v>
      </c>
      <c r="P893" t="str">
        <f>IF(TBL_Employees[[#This Row],[Age]]&gt;50,"Senior","Junior")</f>
        <v>Senior</v>
      </c>
      <c r="Q893" s="14" t="str">
        <f>IF(OR(D893="IT", J893&gt;100000), "YES", "NO")</f>
        <v>NO</v>
      </c>
      <c r="R893" s="14">
        <f>YEAR(TBL_Employees[[#This Row],[Hire Date]])</f>
        <v>2014</v>
      </c>
    </row>
    <row r="894" spans="1:18" x14ac:dyDescent="0.35">
      <c r="A894" t="s">
        <v>1789</v>
      </c>
      <c r="B894" t="s">
        <v>1790</v>
      </c>
      <c r="C894" t="s">
        <v>486</v>
      </c>
      <c r="D894" t="s">
        <v>17</v>
      </c>
      <c r="E894" t="s">
        <v>26</v>
      </c>
      <c r="F894" t="s">
        <v>19</v>
      </c>
      <c r="G894" t="s">
        <v>37</v>
      </c>
      <c r="H894">
        <v>36</v>
      </c>
      <c r="I894" s="5">
        <v>40413</v>
      </c>
      <c r="J894" s="11">
        <v>61310</v>
      </c>
      <c r="K894" s="6">
        <v>0</v>
      </c>
      <c r="L894" t="s">
        <v>21</v>
      </c>
      <c r="M894" t="s">
        <v>45</v>
      </c>
      <c r="N894" s="5" t="s">
        <v>31</v>
      </c>
      <c r="O894">
        <f>TBL_Employees[[#This Row],[Bonus %]]*TBL_Employees[[#This Row],[Annual Salary]]</f>
        <v>0</v>
      </c>
      <c r="P894" t="str">
        <f>IF(TBL_Employees[[#This Row],[Age]]&gt;50,"Senior","Junior")</f>
        <v>Junior</v>
      </c>
      <c r="Q894" s="14" t="str">
        <f>IF(OR(D894="IT", J894&gt;100000), "YES", "NO")</f>
        <v>YES</v>
      </c>
      <c r="R894" s="14">
        <f>YEAR(TBL_Employees[[#This Row],[Hire Date]])</f>
        <v>2010</v>
      </c>
    </row>
    <row r="895" spans="1:18" x14ac:dyDescent="0.35">
      <c r="A895" t="s">
        <v>408</v>
      </c>
      <c r="B895" t="s">
        <v>1564</v>
      </c>
      <c r="C895" t="s">
        <v>300</v>
      </c>
      <c r="D895" t="s">
        <v>17</v>
      </c>
      <c r="E895" t="s">
        <v>18</v>
      </c>
      <c r="F895" t="s">
        <v>27</v>
      </c>
      <c r="G895" t="s">
        <v>28</v>
      </c>
      <c r="H895">
        <v>55</v>
      </c>
      <c r="I895" s="5">
        <v>42683</v>
      </c>
      <c r="J895" s="11">
        <v>87851</v>
      </c>
      <c r="K895" s="6">
        <v>0</v>
      </c>
      <c r="L895" t="s">
        <v>29</v>
      </c>
      <c r="M895" t="s">
        <v>30</v>
      </c>
      <c r="N895" s="5" t="s">
        <v>31</v>
      </c>
      <c r="O895">
        <f>TBL_Employees[[#This Row],[Bonus %]]*TBL_Employees[[#This Row],[Annual Salary]]</f>
        <v>0</v>
      </c>
      <c r="P895" t="str">
        <f>IF(TBL_Employees[[#This Row],[Age]]&gt;50,"Senior","Junior")</f>
        <v>Senior</v>
      </c>
      <c r="Q895" s="14" t="str">
        <f>IF(OR(D895="IT", J895&gt;100000), "YES", "NO")</f>
        <v>YES</v>
      </c>
      <c r="R895" s="14">
        <f>YEAR(TBL_Employees[[#This Row],[Hire Date]])</f>
        <v>2016</v>
      </c>
    </row>
    <row r="896" spans="1:18" x14ac:dyDescent="0.35">
      <c r="A896" t="s">
        <v>1791</v>
      </c>
      <c r="B896" t="s">
        <v>1792</v>
      </c>
      <c r="C896" t="s">
        <v>185</v>
      </c>
      <c r="D896" t="s">
        <v>66</v>
      </c>
      <c r="E896" t="s">
        <v>36</v>
      </c>
      <c r="F896" t="s">
        <v>19</v>
      </c>
      <c r="G896" t="s">
        <v>28</v>
      </c>
      <c r="H896">
        <v>31</v>
      </c>
      <c r="I896" s="5">
        <v>43171</v>
      </c>
      <c r="J896" s="11">
        <v>47913</v>
      </c>
      <c r="K896" s="6">
        <v>0</v>
      </c>
      <c r="L896" t="s">
        <v>21</v>
      </c>
      <c r="M896" t="s">
        <v>22</v>
      </c>
      <c r="N896" s="5" t="s">
        <v>31</v>
      </c>
      <c r="O896">
        <f>TBL_Employees[[#This Row],[Bonus %]]*TBL_Employees[[#This Row],[Annual Salary]]</f>
        <v>0</v>
      </c>
      <c r="P896" t="str">
        <f>IF(TBL_Employees[[#This Row],[Age]]&gt;50,"Senior","Junior")</f>
        <v>Junior</v>
      </c>
      <c r="Q896" s="14" t="str">
        <f>IF(OR(D896="IT", J896&gt;100000), "YES", "NO")</f>
        <v>NO</v>
      </c>
      <c r="R896" s="14">
        <f>YEAR(TBL_Employees[[#This Row],[Hire Date]])</f>
        <v>2018</v>
      </c>
    </row>
    <row r="897" spans="1:18" x14ac:dyDescent="0.35">
      <c r="A897" t="s">
        <v>1793</v>
      </c>
      <c r="B897" t="s">
        <v>1794</v>
      </c>
      <c r="C897" t="s">
        <v>185</v>
      </c>
      <c r="D897" t="s">
        <v>66</v>
      </c>
      <c r="E897" t="s">
        <v>36</v>
      </c>
      <c r="F897" t="s">
        <v>19</v>
      </c>
      <c r="G897" t="s">
        <v>28</v>
      </c>
      <c r="H897">
        <v>53</v>
      </c>
      <c r="I897" s="5">
        <v>42985</v>
      </c>
      <c r="J897" s="11">
        <v>46727</v>
      </c>
      <c r="K897" s="6">
        <v>0</v>
      </c>
      <c r="L897" t="s">
        <v>21</v>
      </c>
      <c r="M897" t="s">
        <v>89</v>
      </c>
      <c r="N897" s="5">
        <v>43251</v>
      </c>
      <c r="O897">
        <f>TBL_Employees[[#This Row],[Bonus %]]*TBL_Employees[[#This Row],[Annual Salary]]</f>
        <v>0</v>
      </c>
      <c r="P897" t="str">
        <f>IF(TBL_Employees[[#This Row],[Age]]&gt;50,"Senior","Junior")</f>
        <v>Senior</v>
      </c>
      <c r="Q897" s="14" t="str">
        <f>IF(OR(D897="IT", J897&gt;100000), "YES", "NO")</f>
        <v>NO</v>
      </c>
      <c r="R897" s="14">
        <f>YEAR(TBL_Employees[[#This Row],[Hire Date]])</f>
        <v>2017</v>
      </c>
    </row>
    <row r="898" spans="1:18" x14ac:dyDescent="0.35">
      <c r="A898" t="s">
        <v>1795</v>
      </c>
      <c r="B898" t="s">
        <v>1796</v>
      </c>
      <c r="C898" t="s">
        <v>16</v>
      </c>
      <c r="D898" t="s">
        <v>66</v>
      </c>
      <c r="E898" t="s">
        <v>36</v>
      </c>
      <c r="F898" t="s">
        <v>27</v>
      </c>
      <c r="G898" t="s">
        <v>28</v>
      </c>
      <c r="H898">
        <v>27</v>
      </c>
      <c r="I898" s="5">
        <v>44302</v>
      </c>
      <c r="J898" s="11">
        <v>133400</v>
      </c>
      <c r="K898" s="6">
        <v>0.11</v>
      </c>
      <c r="L898" t="s">
        <v>21</v>
      </c>
      <c r="M898" t="s">
        <v>45</v>
      </c>
      <c r="N898" s="5" t="s">
        <v>31</v>
      </c>
      <c r="O898">
        <f>TBL_Employees[[#This Row],[Bonus %]]*TBL_Employees[[#This Row],[Annual Salary]]</f>
        <v>14674</v>
      </c>
      <c r="P898" t="str">
        <f>IF(TBL_Employees[[#This Row],[Age]]&gt;50,"Senior","Junior")</f>
        <v>Junior</v>
      </c>
      <c r="Q898" s="14" t="str">
        <f>IF(OR(D898="IT", J898&gt;100000), "YES", "NO")</f>
        <v>YES</v>
      </c>
      <c r="R898" s="14">
        <f>YEAR(TBL_Employees[[#This Row],[Hire Date]])</f>
        <v>2021</v>
      </c>
    </row>
    <row r="899" spans="1:18" x14ac:dyDescent="0.35">
      <c r="A899" t="s">
        <v>1797</v>
      </c>
      <c r="B899" t="s">
        <v>1798</v>
      </c>
      <c r="C899" t="s">
        <v>373</v>
      </c>
      <c r="D899" t="s">
        <v>17</v>
      </c>
      <c r="E899" t="s">
        <v>36</v>
      </c>
      <c r="F899" t="s">
        <v>19</v>
      </c>
      <c r="G899" t="s">
        <v>28</v>
      </c>
      <c r="H899">
        <v>39</v>
      </c>
      <c r="I899" s="5">
        <v>43943</v>
      </c>
      <c r="J899" s="11">
        <v>90535</v>
      </c>
      <c r="K899" s="6">
        <v>0</v>
      </c>
      <c r="L899" t="s">
        <v>21</v>
      </c>
      <c r="M899" t="s">
        <v>57</v>
      </c>
      <c r="N899" s="5" t="s">
        <v>31</v>
      </c>
      <c r="O899">
        <f>TBL_Employees[[#This Row],[Bonus %]]*TBL_Employees[[#This Row],[Annual Salary]]</f>
        <v>0</v>
      </c>
      <c r="P899" t="str">
        <f>IF(TBL_Employees[[#This Row],[Age]]&gt;50,"Senior","Junior")</f>
        <v>Junior</v>
      </c>
      <c r="Q899" s="14" t="str">
        <f>IF(OR(D899="IT", J899&gt;100000), "YES", "NO")</f>
        <v>YES</v>
      </c>
      <c r="R899" s="14">
        <f>YEAR(TBL_Employees[[#This Row],[Hire Date]])</f>
        <v>2020</v>
      </c>
    </row>
    <row r="900" spans="1:18" x14ac:dyDescent="0.35">
      <c r="A900" t="s">
        <v>1799</v>
      </c>
      <c r="B900" t="s">
        <v>1800</v>
      </c>
      <c r="C900" t="s">
        <v>44</v>
      </c>
      <c r="D900" t="s">
        <v>81</v>
      </c>
      <c r="E900" t="s">
        <v>36</v>
      </c>
      <c r="F900" t="s">
        <v>27</v>
      </c>
      <c r="G900" t="s">
        <v>28</v>
      </c>
      <c r="H900">
        <v>55</v>
      </c>
      <c r="I900" s="5">
        <v>38909</v>
      </c>
      <c r="J900" s="11">
        <v>93343</v>
      </c>
      <c r="K900" s="6">
        <v>0</v>
      </c>
      <c r="L900" t="s">
        <v>29</v>
      </c>
      <c r="M900" t="s">
        <v>30</v>
      </c>
      <c r="N900" s="5" t="s">
        <v>31</v>
      </c>
      <c r="O900">
        <f>TBL_Employees[[#This Row],[Bonus %]]*TBL_Employees[[#This Row],[Annual Salary]]</f>
        <v>0</v>
      </c>
      <c r="P900" t="str">
        <f>IF(TBL_Employees[[#This Row],[Age]]&gt;50,"Senior","Junior")</f>
        <v>Senior</v>
      </c>
      <c r="Q900" s="14" t="str">
        <f>IF(OR(D900="IT", J900&gt;100000), "YES", "NO")</f>
        <v>NO</v>
      </c>
      <c r="R900" s="14">
        <f>YEAR(TBL_Employees[[#This Row],[Hire Date]])</f>
        <v>2006</v>
      </c>
    </row>
    <row r="901" spans="1:18" x14ac:dyDescent="0.35">
      <c r="A901" t="s">
        <v>1795</v>
      </c>
      <c r="B901" t="s">
        <v>1801</v>
      </c>
      <c r="C901" t="s">
        <v>165</v>
      </c>
      <c r="D901" t="s">
        <v>66</v>
      </c>
      <c r="E901" t="s">
        <v>50</v>
      </c>
      <c r="F901" t="s">
        <v>19</v>
      </c>
      <c r="G901" t="s">
        <v>28</v>
      </c>
      <c r="H901">
        <v>44</v>
      </c>
      <c r="I901" s="5">
        <v>38771</v>
      </c>
      <c r="J901" s="11">
        <v>63705</v>
      </c>
      <c r="K901" s="6">
        <v>0</v>
      </c>
      <c r="L901" t="s">
        <v>21</v>
      </c>
      <c r="M901" t="s">
        <v>57</v>
      </c>
      <c r="N901" s="5" t="s">
        <v>31</v>
      </c>
      <c r="O901">
        <f>TBL_Employees[[#This Row],[Bonus %]]*TBL_Employees[[#This Row],[Annual Salary]]</f>
        <v>0</v>
      </c>
      <c r="P901" t="str">
        <f>IF(TBL_Employees[[#This Row],[Age]]&gt;50,"Senior","Junior")</f>
        <v>Junior</v>
      </c>
      <c r="Q901" s="14" t="str">
        <f>IF(OR(D901="IT", J901&gt;100000), "YES", "NO")</f>
        <v>NO</v>
      </c>
      <c r="R901" s="14">
        <f>YEAR(TBL_Employees[[#This Row],[Hire Date]])</f>
        <v>2006</v>
      </c>
    </row>
    <row r="902" spans="1:18" x14ac:dyDescent="0.35">
      <c r="A902" t="s">
        <v>1802</v>
      </c>
      <c r="B902" t="s">
        <v>1803</v>
      </c>
      <c r="C902" t="s">
        <v>80</v>
      </c>
      <c r="D902" t="s">
        <v>49</v>
      </c>
      <c r="E902" t="s">
        <v>50</v>
      </c>
      <c r="F902" t="s">
        <v>27</v>
      </c>
      <c r="G902" t="s">
        <v>86</v>
      </c>
      <c r="H902">
        <v>48</v>
      </c>
      <c r="I902" s="5">
        <v>36584</v>
      </c>
      <c r="J902" s="11">
        <v>258081</v>
      </c>
      <c r="K902" s="6">
        <v>0.3</v>
      </c>
      <c r="L902" t="s">
        <v>21</v>
      </c>
      <c r="M902" t="s">
        <v>38</v>
      </c>
      <c r="N902" s="5" t="s">
        <v>31</v>
      </c>
      <c r="O902">
        <f>TBL_Employees[[#This Row],[Bonus %]]*TBL_Employees[[#This Row],[Annual Salary]]</f>
        <v>77424.3</v>
      </c>
      <c r="P902" t="str">
        <f>IF(TBL_Employees[[#This Row],[Age]]&gt;50,"Senior","Junior")</f>
        <v>Junior</v>
      </c>
      <c r="Q902" s="14" t="str">
        <f>IF(OR(D902="IT", J902&gt;100000), "YES", "NO")</f>
        <v>YES</v>
      </c>
      <c r="R902" s="14">
        <f>YEAR(TBL_Employees[[#This Row],[Hire Date]])</f>
        <v>2000</v>
      </c>
    </row>
    <row r="903" spans="1:18" x14ac:dyDescent="0.35">
      <c r="A903" t="s">
        <v>1804</v>
      </c>
      <c r="B903" t="s">
        <v>1805</v>
      </c>
      <c r="C903" t="s">
        <v>185</v>
      </c>
      <c r="D903" t="s">
        <v>66</v>
      </c>
      <c r="E903" t="s">
        <v>18</v>
      </c>
      <c r="F903" t="s">
        <v>27</v>
      </c>
      <c r="G903" t="s">
        <v>20</v>
      </c>
      <c r="H903">
        <v>48</v>
      </c>
      <c r="I903" s="5">
        <v>44095</v>
      </c>
      <c r="J903" s="11">
        <v>54654</v>
      </c>
      <c r="K903" s="6">
        <v>0</v>
      </c>
      <c r="L903" t="s">
        <v>21</v>
      </c>
      <c r="M903" t="s">
        <v>45</v>
      </c>
      <c r="N903" s="5" t="s">
        <v>31</v>
      </c>
      <c r="O903">
        <f>TBL_Employees[[#This Row],[Bonus %]]*TBL_Employees[[#This Row],[Annual Salary]]</f>
        <v>0</v>
      </c>
      <c r="P903" t="str">
        <f>IF(TBL_Employees[[#This Row],[Age]]&gt;50,"Senior","Junior")</f>
        <v>Junior</v>
      </c>
      <c r="Q903" s="14" t="str">
        <f>IF(OR(D903="IT", J903&gt;100000), "YES", "NO")</f>
        <v>NO</v>
      </c>
      <c r="R903" s="14">
        <f>YEAR(TBL_Employees[[#This Row],[Hire Date]])</f>
        <v>2020</v>
      </c>
    </row>
    <row r="904" spans="1:18" x14ac:dyDescent="0.35">
      <c r="A904" t="s">
        <v>1806</v>
      </c>
      <c r="B904" t="s">
        <v>1807</v>
      </c>
      <c r="C904" t="s">
        <v>56</v>
      </c>
      <c r="D904" t="s">
        <v>49</v>
      </c>
      <c r="E904" t="s">
        <v>26</v>
      </c>
      <c r="F904" t="s">
        <v>27</v>
      </c>
      <c r="G904" t="s">
        <v>37</v>
      </c>
      <c r="H904">
        <v>54</v>
      </c>
      <c r="I904" s="5">
        <v>36062</v>
      </c>
      <c r="J904" s="11">
        <v>58006</v>
      </c>
      <c r="K904" s="6">
        <v>0</v>
      </c>
      <c r="L904" t="s">
        <v>21</v>
      </c>
      <c r="M904" t="s">
        <v>22</v>
      </c>
      <c r="N904" s="5" t="s">
        <v>31</v>
      </c>
      <c r="O904">
        <f>TBL_Employees[[#This Row],[Bonus %]]*TBL_Employees[[#This Row],[Annual Salary]]</f>
        <v>0</v>
      </c>
      <c r="P904" t="str">
        <f>IF(TBL_Employees[[#This Row],[Age]]&gt;50,"Senior","Junior")</f>
        <v>Senior</v>
      </c>
      <c r="Q904" s="14" t="str">
        <f>IF(OR(D904="IT", J904&gt;100000), "YES", "NO")</f>
        <v>NO</v>
      </c>
      <c r="R904" s="14">
        <f>YEAR(TBL_Employees[[#This Row],[Hire Date]])</f>
        <v>1998</v>
      </c>
    </row>
    <row r="905" spans="1:18" x14ac:dyDescent="0.35">
      <c r="A905" t="s">
        <v>547</v>
      </c>
      <c r="B905" t="s">
        <v>790</v>
      </c>
      <c r="C905" t="s">
        <v>16</v>
      </c>
      <c r="D905" t="s">
        <v>35</v>
      </c>
      <c r="E905" t="s">
        <v>26</v>
      </c>
      <c r="F905" t="s">
        <v>19</v>
      </c>
      <c r="G905" t="s">
        <v>28</v>
      </c>
      <c r="H905">
        <v>42</v>
      </c>
      <c r="I905" s="5">
        <v>40620</v>
      </c>
      <c r="J905" s="11">
        <v>150034</v>
      </c>
      <c r="K905" s="6">
        <v>0.12</v>
      </c>
      <c r="L905" t="s">
        <v>29</v>
      </c>
      <c r="M905" t="s">
        <v>115</v>
      </c>
      <c r="N905" s="5" t="s">
        <v>31</v>
      </c>
      <c r="O905">
        <f>TBL_Employees[[#This Row],[Bonus %]]*TBL_Employees[[#This Row],[Annual Salary]]</f>
        <v>18004.079999999998</v>
      </c>
      <c r="P905" t="str">
        <f>IF(TBL_Employees[[#This Row],[Age]]&gt;50,"Senior","Junior")</f>
        <v>Junior</v>
      </c>
      <c r="Q905" s="14" t="str">
        <f>IF(OR(D905="IT", J905&gt;100000), "YES", "NO")</f>
        <v>YES</v>
      </c>
      <c r="R905" s="14">
        <f>YEAR(TBL_Employees[[#This Row],[Hire Date]])</f>
        <v>2011</v>
      </c>
    </row>
    <row r="906" spans="1:18" x14ac:dyDescent="0.35">
      <c r="A906" t="s">
        <v>1726</v>
      </c>
      <c r="B906" t="s">
        <v>1808</v>
      </c>
      <c r="C906" t="s">
        <v>34</v>
      </c>
      <c r="D906" t="s">
        <v>66</v>
      </c>
      <c r="E906" t="s">
        <v>36</v>
      </c>
      <c r="F906" t="s">
        <v>19</v>
      </c>
      <c r="G906" t="s">
        <v>28</v>
      </c>
      <c r="H906">
        <v>38</v>
      </c>
      <c r="I906" s="5">
        <v>39232</v>
      </c>
      <c r="J906" s="11">
        <v>198562</v>
      </c>
      <c r="K906" s="6">
        <v>0.22</v>
      </c>
      <c r="L906" t="s">
        <v>21</v>
      </c>
      <c r="M906" t="s">
        <v>22</v>
      </c>
      <c r="N906" s="5" t="s">
        <v>31</v>
      </c>
      <c r="O906">
        <f>TBL_Employees[[#This Row],[Bonus %]]*TBL_Employees[[#This Row],[Annual Salary]]</f>
        <v>43683.64</v>
      </c>
      <c r="P906" t="str">
        <f>IF(TBL_Employees[[#This Row],[Age]]&gt;50,"Senior","Junior")</f>
        <v>Junior</v>
      </c>
      <c r="Q906" s="14" t="str">
        <f>IF(OR(D906="IT", J906&gt;100000), "YES", "NO")</f>
        <v>YES</v>
      </c>
      <c r="R906" s="14">
        <f>YEAR(TBL_Employees[[#This Row],[Hire Date]])</f>
        <v>2007</v>
      </c>
    </row>
    <row r="907" spans="1:18" x14ac:dyDescent="0.35">
      <c r="A907" t="s">
        <v>1809</v>
      </c>
      <c r="B907" t="s">
        <v>1810</v>
      </c>
      <c r="C907" t="s">
        <v>48</v>
      </c>
      <c r="D907" t="s">
        <v>49</v>
      </c>
      <c r="E907" t="s">
        <v>18</v>
      </c>
      <c r="F907" t="s">
        <v>19</v>
      </c>
      <c r="G907" t="s">
        <v>20</v>
      </c>
      <c r="H907">
        <v>40</v>
      </c>
      <c r="I907" s="5">
        <v>39960</v>
      </c>
      <c r="J907" s="11">
        <v>62411</v>
      </c>
      <c r="K907" s="6">
        <v>0</v>
      </c>
      <c r="L907" t="s">
        <v>21</v>
      </c>
      <c r="M907" t="s">
        <v>57</v>
      </c>
      <c r="N907" s="5">
        <v>44422</v>
      </c>
      <c r="O907">
        <f>TBL_Employees[[#This Row],[Bonus %]]*TBL_Employees[[#This Row],[Annual Salary]]</f>
        <v>0</v>
      </c>
      <c r="P907" t="str">
        <f>IF(TBL_Employees[[#This Row],[Age]]&gt;50,"Senior","Junior")</f>
        <v>Junior</v>
      </c>
      <c r="Q907" s="14" t="str">
        <f>IF(OR(D907="IT", J907&gt;100000), "YES", "NO")</f>
        <v>NO</v>
      </c>
      <c r="R907" s="14">
        <f>YEAR(TBL_Employees[[#This Row],[Hire Date]])</f>
        <v>2009</v>
      </c>
    </row>
    <row r="908" spans="1:18" x14ac:dyDescent="0.35">
      <c r="A908" t="s">
        <v>1811</v>
      </c>
      <c r="B908" t="s">
        <v>1812</v>
      </c>
      <c r="C908" t="s">
        <v>114</v>
      </c>
      <c r="D908" t="s">
        <v>70</v>
      </c>
      <c r="E908" t="s">
        <v>18</v>
      </c>
      <c r="F908" t="s">
        <v>27</v>
      </c>
      <c r="G908" t="s">
        <v>28</v>
      </c>
      <c r="H908">
        <v>57</v>
      </c>
      <c r="I908" s="5">
        <v>33612</v>
      </c>
      <c r="J908" s="11">
        <v>111299</v>
      </c>
      <c r="K908" s="6">
        <v>0.12</v>
      </c>
      <c r="L908" t="s">
        <v>21</v>
      </c>
      <c r="M908" t="s">
        <v>57</v>
      </c>
      <c r="N908" s="5" t="s">
        <v>31</v>
      </c>
      <c r="O908">
        <f>TBL_Employees[[#This Row],[Bonus %]]*TBL_Employees[[#This Row],[Annual Salary]]</f>
        <v>13355.88</v>
      </c>
      <c r="P908" t="str">
        <f>IF(TBL_Employees[[#This Row],[Age]]&gt;50,"Senior","Junior")</f>
        <v>Senior</v>
      </c>
      <c r="Q908" s="14" t="str">
        <f>IF(OR(D908="IT", J908&gt;100000), "YES", "NO")</f>
        <v>YES</v>
      </c>
      <c r="R908" s="14">
        <f>YEAR(TBL_Employees[[#This Row],[Hire Date]])</f>
        <v>1992</v>
      </c>
    </row>
    <row r="909" spans="1:18" x14ac:dyDescent="0.35">
      <c r="A909" t="s">
        <v>1577</v>
      </c>
      <c r="B909" t="s">
        <v>1813</v>
      </c>
      <c r="C909" t="s">
        <v>56</v>
      </c>
      <c r="D909" t="s">
        <v>81</v>
      </c>
      <c r="E909" t="s">
        <v>18</v>
      </c>
      <c r="F909" t="s">
        <v>19</v>
      </c>
      <c r="G909" t="s">
        <v>37</v>
      </c>
      <c r="H909">
        <v>43</v>
      </c>
      <c r="I909" s="5">
        <v>43659</v>
      </c>
      <c r="J909" s="11">
        <v>41545</v>
      </c>
      <c r="K909" s="6">
        <v>0</v>
      </c>
      <c r="L909" t="s">
        <v>21</v>
      </c>
      <c r="M909" t="s">
        <v>57</v>
      </c>
      <c r="N909" s="5" t="s">
        <v>31</v>
      </c>
      <c r="O909">
        <f>TBL_Employees[[#This Row],[Bonus %]]*TBL_Employees[[#This Row],[Annual Salary]]</f>
        <v>0</v>
      </c>
      <c r="P909" t="str">
        <f>IF(TBL_Employees[[#This Row],[Age]]&gt;50,"Senior","Junior")</f>
        <v>Junior</v>
      </c>
      <c r="Q909" s="14" t="str">
        <f>IF(OR(D909="IT", J909&gt;100000), "YES", "NO")</f>
        <v>NO</v>
      </c>
      <c r="R909" s="14">
        <f>YEAR(TBL_Employees[[#This Row],[Hire Date]])</f>
        <v>2019</v>
      </c>
    </row>
    <row r="910" spans="1:18" x14ac:dyDescent="0.35">
      <c r="A910" t="s">
        <v>1814</v>
      </c>
      <c r="B910" t="s">
        <v>1815</v>
      </c>
      <c r="C910" t="s">
        <v>252</v>
      </c>
      <c r="D910" t="s">
        <v>17</v>
      </c>
      <c r="E910" t="s">
        <v>26</v>
      </c>
      <c r="F910" t="s">
        <v>27</v>
      </c>
      <c r="G910" t="s">
        <v>86</v>
      </c>
      <c r="H910">
        <v>26</v>
      </c>
      <c r="I910" s="5">
        <v>43569</v>
      </c>
      <c r="J910" s="11">
        <v>74467</v>
      </c>
      <c r="K910" s="6">
        <v>0</v>
      </c>
      <c r="L910" t="s">
        <v>21</v>
      </c>
      <c r="M910" t="s">
        <v>89</v>
      </c>
      <c r="N910" s="5">
        <v>44211</v>
      </c>
      <c r="O910">
        <f>TBL_Employees[[#This Row],[Bonus %]]*TBL_Employees[[#This Row],[Annual Salary]]</f>
        <v>0</v>
      </c>
      <c r="P910" t="str">
        <f>IF(TBL_Employees[[#This Row],[Age]]&gt;50,"Senior","Junior")</f>
        <v>Junior</v>
      </c>
      <c r="Q910" s="14" t="str">
        <f>IF(OR(D910="IT", J910&gt;100000), "YES", "NO")</f>
        <v>YES</v>
      </c>
      <c r="R910" s="14">
        <f>YEAR(TBL_Employees[[#This Row],[Hire Date]])</f>
        <v>2019</v>
      </c>
    </row>
    <row r="911" spans="1:18" x14ac:dyDescent="0.35">
      <c r="A911" t="s">
        <v>1719</v>
      </c>
      <c r="B911" t="s">
        <v>1816</v>
      </c>
      <c r="C911" t="s">
        <v>53</v>
      </c>
      <c r="D911" t="s">
        <v>60</v>
      </c>
      <c r="E911" t="s">
        <v>18</v>
      </c>
      <c r="F911" t="s">
        <v>27</v>
      </c>
      <c r="G911" t="s">
        <v>37</v>
      </c>
      <c r="H911">
        <v>44</v>
      </c>
      <c r="I911" s="5">
        <v>37296</v>
      </c>
      <c r="J911" s="11">
        <v>117545</v>
      </c>
      <c r="K911" s="6">
        <v>0.06</v>
      </c>
      <c r="L911" t="s">
        <v>21</v>
      </c>
      <c r="M911" t="s">
        <v>45</v>
      </c>
      <c r="N911" s="5" t="s">
        <v>31</v>
      </c>
      <c r="O911">
        <f>TBL_Employees[[#This Row],[Bonus %]]*TBL_Employees[[#This Row],[Annual Salary]]</f>
        <v>7052.7</v>
      </c>
      <c r="P911" t="str">
        <f>IF(TBL_Employees[[#This Row],[Age]]&gt;50,"Senior","Junior")</f>
        <v>Junior</v>
      </c>
      <c r="Q911" s="14" t="str">
        <f>IF(OR(D911="IT", J911&gt;100000), "YES", "NO")</f>
        <v>YES</v>
      </c>
      <c r="R911" s="14">
        <f>YEAR(TBL_Employees[[#This Row],[Hire Date]])</f>
        <v>2002</v>
      </c>
    </row>
    <row r="912" spans="1:18" x14ac:dyDescent="0.35">
      <c r="A912" t="s">
        <v>1817</v>
      </c>
      <c r="B912" t="s">
        <v>1818</v>
      </c>
      <c r="C912" t="s">
        <v>53</v>
      </c>
      <c r="D912" t="s">
        <v>66</v>
      </c>
      <c r="E912" t="s">
        <v>36</v>
      </c>
      <c r="F912" t="s">
        <v>27</v>
      </c>
      <c r="G912" t="s">
        <v>28</v>
      </c>
      <c r="H912">
        <v>50</v>
      </c>
      <c r="I912" s="5">
        <v>40983</v>
      </c>
      <c r="J912" s="11">
        <v>117226</v>
      </c>
      <c r="K912" s="6">
        <v>0.08</v>
      </c>
      <c r="L912" t="s">
        <v>21</v>
      </c>
      <c r="M912" t="s">
        <v>45</v>
      </c>
      <c r="N912" s="5" t="s">
        <v>31</v>
      </c>
      <c r="O912">
        <f>TBL_Employees[[#This Row],[Bonus %]]*TBL_Employees[[#This Row],[Annual Salary]]</f>
        <v>9378.08</v>
      </c>
      <c r="P912" t="str">
        <f>IF(TBL_Employees[[#This Row],[Age]]&gt;50,"Senior","Junior")</f>
        <v>Junior</v>
      </c>
      <c r="Q912" s="14" t="str">
        <f>IF(OR(D912="IT", J912&gt;100000), "YES", "NO")</f>
        <v>YES</v>
      </c>
      <c r="R912" s="14">
        <f>YEAR(TBL_Employees[[#This Row],[Hire Date]])</f>
        <v>2012</v>
      </c>
    </row>
    <row r="913" spans="1:18" x14ac:dyDescent="0.35">
      <c r="A913" t="s">
        <v>1819</v>
      </c>
      <c r="B913" t="s">
        <v>1820</v>
      </c>
      <c r="C913" t="s">
        <v>56</v>
      </c>
      <c r="D913" t="s">
        <v>60</v>
      </c>
      <c r="E913" t="s">
        <v>50</v>
      </c>
      <c r="F913" t="s">
        <v>19</v>
      </c>
      <c r="G913" t="s">
        <v>86</v>
      </c>
      <c r="H913">
        <v>26</v>
      </c>
      <c r="I913" s="5">
        <v>43489</v>
      </c>
      <c r="J913" s="11">
        <v>55767</v>
      </c>
      <c r="K913" s="6">
        <v>0</v>
      </c>
      <c r="L913" t="s">
        <v>21</v>
      </c>
      <c r="M913" t="s">
        <v>45</v>
      </c>
      <c r="N913" s="5" t="s">
        <v>31</v>
      </c>
      <c r="O913">
        <f>TBL_Employees[[#This Row],[Bonus %]]*TBL_Employees[[#This Row],[Annual Salary]]</f>
        <v>0</v>
      </c>
      <c r="P913" t="str">
        <f>IF(TBL_Employees[[#This Row],[Age]]&gt;50,"Senior","Junior")</f>
        <v>Junior</v>
      </c>
      <c r="Q913" s="14" t="str">
        <f>IF(OR(D913="IT", J913&gt;100000), "YES", "NO")</f>
        <v>NO</v>
      </c>
      <c r="R913" s="14">
        <f>YEAR(TBL_Employees[[#This Row],[Hire Date]])</f>
        <v>2019</v>
      </c>
    </row>
    <row r="914" spans="1:18" x14ac:dyDescent="0.35">
      <c r="A914" t="s">
        <v>1821</v>
      </c>
      <c r="B914" t="s">
        <v>1822</v>
      </c>
      <c r="C914" t="s">
        <v>125</v>
      </c>
      <c r="D914" t="s">
        <v>49</v>
      </c>
      <c r="E914" t="s">
        <v>26</v>
      </c>
      <c r="F914" t="s">
        <v>19</v>
      </c>
      <c r="G914" t="s">
        <v>37</v>
      </c>
      <c r="H914">
        <v>29</v>
      </c>
      <c r="I914" s="5">
        <v>42691</v>
      </c>
      <c r="J914" s="11">
        <v>60930</v>
      </c>
      <c r="K914" s="6">
        <v>0</v>
      </c>
      <c r="L914" t="s">
        <v>21</v>
      </c>
      <c r="M914" t="s">
        <v>61</v>
      </c>
      <c r="N914" s="5" t="s">
        <v>31</v>
      </c>
      <c r="O914">
        <f>TBL_Employees[[#This Row],[Bonus %]]*TBL_Employees[[#This Row],[Annual Salary]]</f>
        <v>0</v>
      </c>
      <c r="P914" t="str">
        <f>IF(TBL_Employees[[#This Row],[Age]]&gt;50,"Senior","Junior")</f>
        <v>Junior</v>
      </c>
      <c r="Q914" s="14" t="str">
        <f>IF(OR(D914="IT", J914&gt;100000), "YES", "NO")</f>
        <v>NO</v>
      </c>
      <c r="R914" s="14">
        <f>YEAR(TBL_Employees[[#This Row],[Hire Date]])</f>
        <v>2016</v>
      </c>
    </row>
    <row r="915" spans="1:18" x14ac:dyDescent="0.35">
      <c r="A915" t="s">
        <v>1823</v>
      </c>
      <c r="B915" t="s">
        <v>1824</v>
      </c>
      <c r="C915" t="s">
        <v>34</v>
      </c>
      <c r="D915" t="s">
        <v>49</v>
      </c>
      <c r="E915" t="s">
        <v>36</v>
      </c>
      <c r="F915" t="s">
        <v>19</v>
      </c>
      <c r="G915" t="s">
        <v>86</v>
      </c>
      <c r="H915">
        <v>27</v>
      </c>
      <c r="I915" s="5">
        <v>43397</v>
      </c>
      <c r="J915" s="11">
        <v>154973</v>
      </c>
      <c r="K915" s="6">
        <v>0.28999999999999998</v>
      </c>
      <c r="L915" t="s">
        <v>94</v>
      </c>
      <c r="M915" t="s">
        <v>219</v>
      </c>
      <c r="N915" s="5" t="s">
        <v>31</v>
      </c>
      <c r="O915">
        <f>TBL_Employees[[#This Row],[Bonus %]]*TBL_Employees[[#This Row],[Annual Salary]]</f>
        <v>44942.17</v>
      </c>
      <c r="P915" t="str">
        <f>IF(TBL_Employees[[#This Row],[Age]]&gt;50,"Senior","Junior")</f>
        <v>Junior</v>
      </c>
      <c r="Q915" s="14" t="str">
        <f>IF(OR(D915="IT", J915&gt;100000), "YES", "NO")</f>
        <v>YES</v>
      </c>
      <c r="R915" s="14">
        <f>YEAR(TBL_Employees[[#This Row],[Hire Date]])</f>
        <v>2018</v>
      </c>
    </row>
    <row r="916" spans="1:18" x14ac:dyDescent="0.35">
      <c r="A916" t="s">
        <v>1825</v>
      </c>
      <c r="B916" t="s">
        <v>1826</v>
      </c>
      <c r="C916" t="s">
        <v>208</v>
      </c>
      <c r="D916" t="s">
        <v>17</v>
      </c>
      <c r="E916" t="s">
        <v>26</v>
      </c>
      <c r="F916" t="s">
        <v>19</v>
      </c>
      <c r="G916" t="s">
        <v>28</v>
      </c>
      <c r="H916">
        <v>33</v>
      </c>
      <c r="I916" s="5">
        <v>43029</v>
      </c>
      <c r="J916" s="11">
        <v>69332</v>
      </c>
      <c r="K916" s="6">
        <v>0</v>
      </c>
      <c r="L916" t="s">
        <v>21</v>
      </c>
      <c r="M916" t="s">
        <v>89</v>
      </c>
      <c r="N916" s="5" t="s">
        <v>31</v>
      </c>
      <c r="O916">
        <f>TBL_Employees[[#This Row],[Bonus %]]*TBL_Employees[[#This Row],[Annual Salary]]</f>
        <v>0</v>
      </c>
      <c r="P916" t="str">
        <f>IF(TBL_Employees[[#This Row],[Age]]&gt;50,"Senior","Junior")</f>
        <v>Junior</v>
      </c>
      <c r="Q916" s="14" t="str">
        <f>IF(OR(D916="IT", J916&gt;100000), "YES", "NO")</f>
        <v>YES</v>
      </c>
      <c r="R916" s="14">
        <f>YEAR(TBL_Employees[[#This Row],[Hire Date]])</f>
        <v>2017</v>
      </c>
    </row>
    <row r="917" spans="1:18" x14ac:dyDescent="0.35">
      <c r="A917" t="s">
        <v>1827</v>
      </c>
      <c r="B917" t="s">
        <v>1828</v>
      </c>
      <c r="C917" t="s">
        <v>69</v>
      </c>
      <c r="D917" t="s">
        <v>70</v>
      </c>
      <c r="E917" t="s">
        <v>18</v>
      </c>
      <c r="F917" t="s">
        <v>19</v>
      </c>
      <c r="G917" t="s">
        <v>28</v>
      </c>
      <c r="H917">
        <v>59</v>
      </c>
      <c r="I917" s="5">
        <v>36990</v>
      </c>
      <c r="J917" s="11">
        <v>119699</v>
      </c>
      <c r="K917" s="6">
        <v>0</v>
      </c>
      <c r="L917" t="s">
        <v>29</v>
      </c>
      <c r="M917" t="s">
        <v>75</v>
      </c>
      <c r="N917" s="5" t="s">
        <v>31</v>
      </c>
      <c r="O917">
        <f>TBL_Employees[[#This Row],[Bonus %]]*TBL_Employees[[#This Row],[Annual Salary]]</f>
        <v>0</v>
      </c>
      <c r="P917" t="str">
        <f>IF(TBL_Employees[[#This Row],[Age]]&gt;50,"Senior","Junior")</f>
        <v>Senior</v>
      </c>
      <c r="Q917" s="14" t="str">
        <f>IF(OR(D917="IT", J917&gt;100000), "YES", "NO")</f>
        <v>YES</v>
      </c>
      <c r="R917" s="14">
        <f>YEAR(TBL_Employees[[#This Row],[Hire Date]])</f>
        <v>2001</v>
      </c>
    </row>
    <row r="918" spans="1:18" x14ac:dyDescent="0.35">
      <c r="A918" t="s">
        <v>1829</v>
      </c>
      <c r="B918" t="s">
        <v>1830</v>
      </c>
      <c r="C918" t="s">
        <v>34</v>
      </c>
      <c r="D918" t="s">
        <v>66</v>
      </c>
      <c r="E918" t="s">
        <v>36</v>
      </c>
      <c r="F918" t="s">
        <v>19</v>
      </c>
      <c r="G918" t="s">
        <v>86</v>
      </c>
      <c r="H918">
        <v>40</v>
      </c>
      <c r="I918" s="5">
        <v>44094</v>
      </c>
      <c r="J918" s="11">
        <v>198176</v>
      </c>
      <c r="K918" s="6">
        <v>0.17</v>
      </c>
      <c r="L918" t="s">
        <v>94</v>
      </c>
      <c r="M918" t="s">
        <v>95</v>
      </c>
      <c r="N918" s="5" t="s">
        <v>31</v>
      </c>
      <c r="O918">
        <f>TBL_Employees[[#This Row],[Bonus %]]*TBL_Employees[[#This Row],[Annual Salary]]</f>
        <v>33689.920000000006</v>
      </c>
      <c r="P918" t="str">
        <f>IF(TBL_Employees[[#This Row],[Age]]&gt;50,"Senior","Junior")</f>
        <v>Junior</v>
      </c>
      <c r="Q918" s="14" t="str">
        <f>IF(OR(D918="IT", J918&gt;100000), "YES", "NO")</f>
        <v>YES</v>
      </c>
      <c r="R918" s="14">
        <f>YEAR(TBL_Employees[[#This Row],[Hire Date]])</f>
        <v>2020</v>
      </c>
    </row>
    <row r="919" spans="1:18" x14ac:dyDescent="0.35">
      <c r="A919" t="s">
        <v>1831</v>
      </c>
      <c r="B919" t="s">
        <v>1832</v>
      </c>
      <c r="C919" t="s">
        <v>125</v>
      </c>
      <c r="D919" t="s">
        <v>35</v>
      </c>
      <c r="E919" t="s">
        <v>18</v>
      </c>
      <c r="F919" t="s">
        <v>19</v>
      </c>
      <c r="G919" t="s">
        <v>86</v>
      </c>
      <c r="H919">
        <v>45</v>
      </c>
      <c r="I919" s="5">
        <v>41127</v>
      </c>
      <c r="J919" s="11">
        <v>58586</v>
      </c>
      <c r="K919" s="6">
        <v>0</v>
      </c>
      <c r="L919" t="s">
        <v>94</v>
      </c>
      <c r="M919" t="s">
        <v>219</v>
      </c>
      <c r="N919" s="5" t="s">
        <v>31</v>
      </c>
      <c r="O919">
        <f>TBL_Employees[[#This Row],[Bonus %]]*TBL_Employees[[#This Row],[Annual Salary]]</f>
        <v>0</v>
      </c>
      <c r="P919" t="str">
        <f>IF(TBL_Employees[[#This Row],[Age]]&gt;50,"Senior","Junior")</f>
        <v>Junior</v>
      </c>
      <c r="Q919" s="14" t="str">
        <f>IF(OR(D919="IT", J919&gt;100000), "YES", "NO")</f>
        <v>NO</v>
      </c>
      <c r="R919" s="14">
        <f>YEAR(TBL_Employees[[#This Row],[Hire Date]])</f>
        <v>2012</v>
      </c>
    </row>
    <row r="920" spans="1:18" x14ac:dyDescent="0.35">
      <c r="A920" t="s">
        <v>1833</v>
      </c>
      <c r="B920" t="s">
        <v>1834</v>
      </c>
      <c r="C920" t="s">
        <v>295</v>
      </c>
      <c r="D920" t="s">
        <v>49</v>
      </c>
      <c r="E920" t="s">
        <v>50</v>
      </c>
      <c r="F920" t="s">
        <v>27</v>
      </c>
      <c r="G920" t="s">
        <v>28</v>
      </c>
      <c r="H920">
        <v>38</v>
      </c>
      <c r="I920" s="5">
        <v>40875</v>
      </c>
      <c r="J920" s="11">
        <v>74010</v>
      </c>
      <c r="K920" s="6">
        <v>0</v>
      </c>
      <c r="L920" t="s">
        <v>21</v>
      </c>
      <c r="M920" t="s">
        <v>38</v>
      </c>
      <c r="N920" s="5" t="s">
        <v>31</v>
      </c>
      <c r="O920">
        <f>TBL_Employees[[#This Row],[Bonus %]]*TBL_Employees[[#This Row],[Annual Salary]]</f>
        <v>0</v>
      </c>
      <c r="P920" t="str">
        <f>IF(TBL_Employees[[#This Row],[Age]]&gt;50,"Senior","Junior")</f>
        <v>Junior</v>
      </c>
      <c r="Q920" s="14" t="str">
        <f>IF(OR(D920="IT", J920&gt;100000), "YES", "NO")</f>
        <v>NO</v>
      </c>
      <c r="R920" s="14">
        <f>YEAR(TBL_Employees[[#This Row],[Hire Date]])</f>
        <v>2011</v>
      </c>
    </row>
    <row r="921" spans="1:18" x14ac:dyDescent="0.35">
      <c r="A921" t="s">
        <v>1835</v>
      </c>
      <c r="B921" t="s">
        <v>1836</v>
      </c>
      <c r="C921" t="s">
        <v>295</v>
      </c>
      <c r="D921" t="s">
        <v>49</v>
      </c>
      <c r="E921" t="s">
        <v>36</v>
      </c>
      <c r="F921" t="s">
        <v>27</v>
      </c>
      <c r="G921" t="s">
        <v>37</v>
      </c>
      <c r="H921">
        <v>32</v>
      </c>
      <c r="I921" s="5">
        <v>43864</v>
      </c>
      <c r="J921" s="11">
        <v>96598</v>
      </c>
      <c r="K921" s="6">
        <v>0</v>
      </c>
      <c r="L921" t="s">
        <v>21</v>
      </c>
      <c r="M921" t="s">
        <v>45</v>
      </c>
      <c r="N921" s="5" t="s">
        <v>31</v>
      </c>
      <c r="O921">
        <f>TBL_Employees[[#This Row],[Bonus %]]*TBL_Employees[[#This Row],[Annual Salary]]</f>
        <v>0</v>
      </c>
      <c r="P921" t="str">
        <f>IF(TBL_Employees[[#This Row],[Age]]&gt;50,"Senior","Junior")</f>
        <v>Junior</v>
      </c>
      <c r="Q921" s="14" t="str">
        <f>IF(OR(D921="IT", J921&gt;100000), "YES", "NO")</f>
        <v>NO</v>
      </c>
      <c r="R921" s="14">
        <f>YEAR(TBL_Employees[[#This Row],[Hire Date]])</f>
        <v>2020</v>
      </c>
    </row>
    <row r="922" spans="1:18" x14ac:dyDescent="0.35">
      <c r="A922" t="s">
        <v>1454</v>
      </c>
      <c r="B922" t="s">
        <v>1837</v>
      </c>
      <c r="C922" t="s">
        <v>53</v>
      </c>
      <c r="D922" t="s">
        <v>49</v>
      </c>
      <c r="E922" t="s">
        <v>36</v>
      </c>
      <c r="F922" t="s">
        <v>19</v>
      </c>
      <c r="G922" t="s">
        <v>28</v>
      </c>
      <c r="H922">
        <v>64</v>
      </c>
      <c r="I922" s="5">
        <v>37762</v>
      </c>
      <c r="J922" s="11">
        <v>106444</v>
      </c>
      <c r="K922" s="6">
        <v>0.05</v>
      </c>
      <c r="L922" t="s">
        <v>21</v>
      </c>
      <c r="M922" t="s">
        <v>45</v>
      </c>
      <c r="N922" s="5" t="s">
        <v>31</v>
      </c>
      <c r="O922">
        <f>TBL_Employees[[#This Row],[Bonus %]]*TBL_Employees[[#This Row],[Annual Salary]]</f>
        <v>5322.2000000000007</v>
      </c>
      <c r="P922" t="str">
        <f>IF(TBL_Employees[[#This Row],[Age]]&gt;50,"Senior","Junior")</f>
        <v>Senior</v>
      </c>
      <c r="Q922" s="14" t="str">
        <f>IF(OR(D922="IT", J922&gt;100000), "YES", "NO")</f>
        <v>YES</v>
      </c>
      <c r="R922" s="14">
        <f>YEAR(TBL_Employees[[#This Row],[Hire Date]])</f>
        <v>2003</v>
      </c>
    </row>
    <row r="923" spans="1:18" x14ac:dyDescent="0.35">
      <c r="A923" t="s">
        <v>1838</v>
      </c>
      <c r="B923" t="s">
        <v>1839</v>
      </c>
      <c r="C923" t="s">
        <v>34</v>
      </c>
      <c r="D923" t="s">
        <v>35</v>
      </c>
      <c r="E923" t="s">
        <v>50</v>
      </c>
      <c r="F923" t="s">
        <v>27</v>
      </c>
      <c r="G923" t="s">
        <v>86</v>
      </c>
      <c r="H923">
        <v>31</v>
      </c>
      <c r="I923" s="5">
        <v>42957</v>
      </c>
      <c r="J923" s="11">
        <v>156931</v>
      </c>
      <c r="K923" s="6">
        <v>0.28000000000000003</v>
      </c>
      <c r="L923" t="s">
        <v>21</v>
      </c>
      <c r="M923" t="s">
        <v>22</v>
      </c>
      <c r="N923" s="5" t="s">
        <v>31</v>
      </c>
      <c r="O923">
        <f>TBL_Employees[[#This Row],[Bonus %]]*TBL_Employees[[#This Row],[Annual Salary]]</f>
        <v>43940.680000000008</v>
      </c>
      <c r="P923" t="str">
        <f>IF(TBL_Employees[[#This Row],[Age]]&gt;50,"Senior","Junior")</f>
        <v>Junior</v>
      </c>
      <c r="Q923" s="14" t="str">
        <f>IF(OR(D923="IT", J923&gt;100000), "YES", "NO")</f>
        <v>YES</v>
      </c>
      <c r="R923" s="14">
        <f>YEAR(TBL_Employees[[#This Row],[Hire Date]])</f>
        <v>2017</v>
      </c>
    </row>
    <row r="924" spans="1:18" x14ac:dyDescent="0.35">
      <c r="A924" t="s">
        <v>1840</v>
      </c>
      <c r="B924" t="s">
        <v>1841</v>
      </c>
      <c r="C924" t="s">
        <v>34</v>
      </c>
      <c r="D924" t="s">
        <v>81</v>
      </c>
      <c r="E924" t="s">
        <v>18</v>
      </c>
      <c r="F924" t="s">
        <v>19</v>
      </c>
      <c r="G924" t="s">
        <v>86</v>
      </c>
      <c r="H924">
        <v>43</v>
      </c>
      <c r="I924" s="5">
        <v>41928</v>
      </c>
      <c r="J924" s="11">
        <v>171360</v>
      </c>
      <c r="K924" s="6">
        <v>0.23</v>
      </c>
      <c r="L924" t="s">
        <v>94</v>
      </c>
      <c r="M924" t="s">
        <v>95</v>
      </c>
      <c r="N924" s="5" t="s">
        <v>31</v>
      </c>
      <c r="O924">
        <f>TBL_Employees[[#This Row],[Bonus %]]*TBL_Employees[[#This Row],[Annual Salary]]</f>
        <v>39412.800000000003</v>
      </c>
      <c r="P924" t="str">
        <f>IF(TBL_Employees[[#This Row],[Age]]&gt;50,"Senior","Junior")</f>
        <v>Junior</v>
      </c>
      <c r="Q924" s="14" t="str">
        <f>IF(OR(D924="IT", J924&gt;100000), "YES", "NO")</f>
        <v>YES</v>
      </c>
      <c r="R924" s="14">
        <f>YEAR(TBL_Employees[[#This Row],[Hire Date]])</f>
        <v>2014</v>
      </c>
    </row>
    <row r="925" spans="1:18" x14ac:dyDescent="0.35">
      <c r="A925" t="s">
        <v>1842</v>
      </c>
      <c r="B925" t="s">
        <v>1843</v>
      </c>
      <c r="C925" t="s">
        <v>132</v>
      </c>
      <c r="D925" t="s">
        <v>17</v>
      </c>
      <c r="E925" t="s">
        <v>18</v>
      </c>
      <c r="F925" t="s">
        <v>19</v>
      </c>
      <c r="G925" t="s">
        <v>37</v>
      </c>
      <c r="H925">
        <v>45</v>
      </c>
      <c r="I925" s="5">
        <v>39908</v>
      </c>
      <c r="J925" s="11">
        <v>64505</v>
      </c>
      <c r="K925" s="6">
        <v>0</v>
      </c>
      <c r="L925" t="s">
        <v>21</v>
      </c>
      <c r="M925" t="s">
        <v>57</v>
      </c>
      <c r="N925" s="5" t="s">
        <v>31</v>
      </c>
      <c r="O925">
        <f>TBL_Employees[[#This Row],[Bonus %]]*TBL_Employees[[#This Row],[Annual Salary]]</f>
        <v>0</v>
      </c>
      <c r="P925" t="str">
        <f>IF(TBL_Employees[[#This Row],[Age]]&gt;50,"Senior","Junior")</f>
        <v>Junior</v>
      </c>
      <c r="Q925" s="14" t="str">
        <f>IF(OR(D925="IT", J925&gt;100000), "YES", "NO")</f>
        <v>YES</v>
      </c>
      <c r="R925" s="14">
        <f>YEAR(TBL_Employees[[#This Row],[Hire Date]])</f>
        <v>2009</v>
      </c>
    </row>
    <row r="926" spans="1:18" x14ac:dyDescent="0.35">
      <c r="A926" t="s">
        <v>1844</v>
      </c>
      <c r="B926" t="s">
        <v>1845</v>
      </c>
      <c r="C926" t="s">
        <v>114</v>
      </c>
      <c r="D926" t="s">
        <v>70</v>
      </c>
      <c r="E926" t="s">
        <v>36</v>
      </c>
      <c r="F926" t="s">
        <v>27</v>
      </c>
      <c r="G926" t="s">
        <v>86</v>
      </c>
      <c r="H926">
        <v>32</v>
      </c>
      <c r="I926" s="5">
        <v>44478</v>
      </c>
      <c r="J926" s="11">
        <v>102298</v>
      </c>
      <c r="K926" s="6">
        <v>0.13</v>
      </c>
      <c r="L926" t="s">
        <v>94</v>
      </c>
      <c r="M926" t="s">
        <v>100</v>
      </c>
      <c r="N926" s="5" t="s">
        <v>31</v>
      </c>
      <c r="O926">
        <f>TBL_Employees[[#This Row],[Bonus %]]*TBL_Employees[[#This Row],[Annual Salary]]</f>
        <v>13298.74</v>
      </c>
      <c r="P926" t="str">
        <f>IF(TBL_Employees[[#This Row],[Age]]&gt;50,"Senior","Junior")</f>
        <v>Junior</v>
      </c>
      <c r="Q926" s="14" t="str">
        <f>IF(OR(D926="IT", J926&gt;100000), "YES", "NO")</f>
        <v>YES</v>
      </c>
      <c r="R926" s="14">
        <f>YEAR(TBL_Employees[[#This Row],[Hire Date]])</f>
        <v>2021</v>
      </c>
    </row>
    <row r="927" spans="1:18" x14ac:dyDescent="0.35">
      <c r="A927" t="s">
        <v>1846</v>
      </c>
      <c r="B927" t="s">
        <v>1847</v>
      </c>
      <c r="C927" t="s">
        <v>16</v>
      </c>
      <c r="D927" t="s">
        <v>49</v>
      </c>
      <c r="E927" t="s">
        <v>50</v>
      </c>
      <c r="F927" t="s">
        <v>19</v>
      </c>
      <c r="G927" t="s">
        <v>86</v>
      </c>
      <c r="H927">
        <v>27</v>
      </c>
      <c r="I927" s="5">
        <v>43721</v>
      </c>
      <c r="J927" s="11">
        <v>133297</v>
      </c>
      <c r="K927" s="6">
        <v>0.13</v>
      </c>
      <c r="L927" t="s">
        <v>94</v>
      </c>
      <c r="M927" t="s">
        <v>100</v>
      </c>
      <c r="N927" s="5" t="s">
        <v>31</v>
      </c>
      <c r="O927">
        <f>TBL_Employees[[#This Row],[Bonus %]]*TBL_Employees[[#This Row],[Annual Salary]]</f>
        <v>17328.61</v>
      </c>
      <c r="P927" t="str">
        <f>IF(TBL_Employees[[#This Row],[Age]]&gt;50,"Senior","Junior")</f>
        <v>Junior</v>
      </c>
      <c r="Q927" s="14" t="str">
        <f>IF(OR(D927="IT", J927&gt;100000), "YES", "NO")</f>
        <v>YES</v>
      </c>
      <c r="R927" s="14">
        <f>YEAR(TBL_Employees[[#This Row],[Hire Date]])</f>
        <v>2019</v>
      </c>
    </row>
    <row r="928" spans="1:18" x14ac:dyDescent="0.35">
      <c r="A928" t="s">
        <v>1848</v>
      </c>
      <c r="B928" t="s">
        <v>1849</v>
      </c>
      <c r="C928" t="s">
        <v>16</v>
      </c>
      <c r="D928" t="s">
        <v>66</v>
      </c>
      <c r="E928" t="s">
        <v>36</v>
      </c>
      <c r="F928" t="s">
        <v>19</v>
      </c>
      <c r="G928" t="s">
        <v>20</v>
      </c>
      <c r="H928">
        <v>25</v>
      </c>
      <c r="I928" s="5">
        <v>44272</v>
      </c>
      <c r="J928" s="11">
        <v>155080</v>
      </c>
      <c r="K928" s="6">
        <v>0.1</v>
      </c>
      <c r="L928" t="s">
        <v>21</v>
      </c>
      <c r="M928" t="s">
        <v>61</v>
      </c>
      <c r="N928" s="5" t="s">
        <v>31</v>
      </c>
      <c r="O928">
        <f>TBL_Employees[[#This Row],[Bonus %]]*TBL_Employees[[#This Row],[Annual Salary]]</f>
        <v>15508</v>
      </c>
      <c r="P928" t="str">
        <f>IF(TBL_Employees[[#This Row],[Age]]&gt;50,"Senior","Junior")</f>
        <v>Junior</v>
      </c>
      <c r="Q928" s="14" t="str">
        <f>IF(OR(D928="IT", J928&gt;100000), "YES", "NO")</f>
        <v>YES</v>
      </c>
      <c r="R928" s="14">
        <f>YEAR(TBL_Employees[[#This Row],[Hire Date]])</f>
        <v>2021</v>
      </c>
    </row>
    <row r="929" spans="1:18" x14ac:dyDescent="0.35">
      <c r="A929" t="s">
        <v>1850</v>
      </c>
      <c r="B929" t="s">
        <v>1851</v>
      </c>
      <c r="C929" t="s">
        <v>44</v>
      </c>
      <c r="D929" t="s">
        <v>49</v>
      </c>
      <c r="E929" t="s">
        <v>36</v>
      </c>
      <c r="F929" t="s">
        <v>27</v>
      </c>
      <c r="G929" t="s">
        <v>37</v>
      </c>
      <c r="H929">
        <v>31</v>
      </c>
      <c r="I929" s="5">
        <v>43325</v>
      </c>
      <c r="J929" s="11">
        <v>81828</v>
      </c>
      <c r="K929" s="6">
        <v>0</v>
      </c>
      <c r="L929" t="s">
        <v>21</v>
      </c>
      <c r="M929" t="s">
        <v>57</v>
      </c>
      <c r="N929" s="5" t="s">
        <v>31</v>
      </c>
      <c r="O929">
        <f>TBL_Employees[[#This Row],[Bonus %]]*TBL_Employees[[#This Row],[Annual Salary]]</f>
        <v>0</v>
      </c>
      <c r="P929" t="str">
        <f>IF(TBL_Employees[[#This Row],[Age]]&gt;50,"Senior","Junior")</f>
        <v>Junior</v>
      </c>
      <c r="Q929" s="14" t="str">
        <f>IF(OR(D929="IT", J929&gt;100000), "YES", "NO")</f>
        <v>NO</v>
      </c>
      <c r="R929" s="14">
        <f>YEAR(TBL_Employees[[#This Row],[Hire Date]])</f>
        <v>2018</v>
      </c>
    </row>
    <row r="930" spans="1:18" x14ac:dyDescent="0.35">
      <c r="A930" t="s">
        <v>1852</v>
      </c>
      <c r="B930" t="s">
        <v>1853</v>
      </c>
      <c r="C930" t="s">
        <v>16</v>
      </c>
      <c r="D930" t="s">
        <v>81</v>
      </c>
      <c r="E930" t="s">
        <v>50</v>
      </c>
      <c r="F930" t="s">
        <v>19</v>
      </c>
      <c r="G930" t="s">
        <v>28</v>
      </c>
      <c r="H930">
        <v>65</v>
      </c>
      <c r="I930" s="5">
        <v>36823</v>
      </c>
      <c r="J930" s="11">
        <v>149417</v>
      </c>
      <c r="K930" s="6">
        <v>0.13</v>
      </c>
      <c r="L930" t="s">
        <v>29</v>
      </c>
      <c r="M930" t="s">
        <v>135</v>
      </c>
      <c r="N930" s="5" t="s">
        <v>31</v>
      </c>
      <c r="O930">
        <f>TBL_Employees[[#This Row],[Bonus %]]*TBL_Employees[[#This Row],[Annual Salary]]</f>
        <v>19424.21</v>
      </c>
      <c r="P930" t="str">
        <f>IF(TBL_Employees[[#This Row],[Age]]&gt;50,"Senior","Junior")</f>
        <v>Senior</v>
      </c>
      <c r="Q930" s="14" t="str">
        <f>IF(OR(D930="IT", J930&gt;100000), "YES", "NO")</f>
        <v>YES</v>
      </c>
      <c r="R930" s="14">
        <f>YEAR(TBL_Employees[[#This Row],[Hire Date]])</f>
        <v>2000</v>
      </c>
    </row>
    <row r="931" spans="1:18" x14ac:dyDescent="0.35">
      <c r="A931" t="s">
        <v>1854</v>
      </c>
      <c r="B931" t="s">
        <v>1855</v>
      </c>
      <c r="C931" t="s">
        <v>53</v>
      </c>
      <c r="D931" t="s">
        <v>49</v>
      </c>
      <c r="E931" t="s">
        <v>50</v>
      </c>
      <c r="F931" t="s">
        <v>27</v>
      </c>
      <c r="G931" t="s">
        <v>86</v>
      </c>
      <c r="H931">
        <v>50</v>
      </c>
      <c r="I931" s="5">
        <v>41024</v>
      </c>
      <c r="J931" s="11">
        <v>113269</v>
      </c>
      <c r="K931" s="6">
        <v>0.09</v>
      </c>
      <c r="L931" t="s">
        <v>94</v>
      </c>
      <c r="M931" t="s">
        <v>219</v>
      </c>
      <c r="N931" s="5" t="s">
        <v>31</v>
      </c>
      <c r="O931">
        <f>TBL_Employees[[#This Row],[Bonus %]]*TBL_Employees[[#This Row],[Annual Salary]]</f>
        <v>10194.209999999999</v>
      </c>
      <c r="P931" t="str">
        <f>IF(TBL_Employees[[#This Row],[Age]]&gt;50,"Senior","Junior")</f>
        <v>Junior</v>
      </c>
      <c r="Q931" s="14" t="str">
        <f>IF(OR(D931="IT", J931&gt;100000), "YES", "NO")</f>
        <v>YES</v>
      </c>
      <c r="R931" s="14">
        <f>YEAR(TBL_Employees[[#This Row],[Hire Date]])</f>
        <v>2012</v>
      </c>
    </row>
    <row r="932" spans="1:18" x14ac:dyDescent="0.35">
      <c r="A932" t="s">
        <v>1856</v>
      </c>
      <c r="B932" t="s">
        <v>1857</v>
      </c>
      <c r="C932" t="s">
        <v>16</v>
      </c>
      <c r="D932" t="s">
        <v>17</v>
      </c>
      <c r="E932" t="s">
        <v>26</v>
      </c>
      <c r="F932" t="s">
        <v>27</v>
      </c>
      <c r="G932" t="s">
        <v>28</v>
      </c>
      <c r="H932">
        <v>46</v>
      </c>
      <c r="I932" s="5">
        <v>43085</v>
      </c>
      <c r="J932" s="11">
        <v>136716</v>
      </c>
      <c r="K932" s="6">
        <v>0.12</v>
      </c>
      <c r="L932" t="s">
        <v>21</v>
      </c>
      <c r="M932" t="s">
        <v>61</v>
      </c>
      <c r="N932" s="5" t="s">
        <v>31</v>
      </c>
      <c r="O932">
        <f>TBL_Employees[[#This Row],[Bonus %]]*TBL_Employees[[#This Row],[Annual Salary]]</f>
        <v>16405.919999999998</v>
      </c>
      <c r="P932" t="str">
        <f>IF(TBL_Employees[[#This Row],[Age]]&gt;50,"Senior","Junior")</f>
        <v>Junior</v>
      </c>
      <c r="Q932" s="14" t="str">
        <f>IF(OR(D932="IT", J932&gt;100000), "YES", "NO")</f>
        <v>YES</v>
      </c>
      <c r="R932" s="14">
        <f>YEAR(TBL_Employees[[#This Row],[Hire Date]])</f>
        <v>2017</v>
      </c>
    </row>
    <row r="933" spans="1:18" x14ac:dyDescent="0.35">
      <c r="A933" t="s">
        <v>1858</v>
      </c>
      <c r="B933" t="s">
        <v>1859</v>
      </c>
      <c r="C933" t="s">
        <v>16</v>
      </c>
      <c r="D933" t="s">
        <v>49</v>
      </c>
      <c r="E933" t="s">
        <v>36</v>
      </c>
      <c r="F933" t="s">
        <v>27</v>
      </c>
      <c r="G933" t="s">
        <v>86</v>
      </c>
      <c r="H933">
        <v>54</v>
      </c>
      <c r="I933" s="5">
        <v>40836</v>
      </c>
      <c r="J933" s="11">
        <v>122644</v>
      </c>
      <c r="K933" s="6">
        <v>0.12</v>
      </c>
      <c r="L933" t="s">
        <v>21</v>
      </c>
      <c r="M933" t="s">
        <v>61</v>
      </c>
      <c r="N933" s="5" t="s">
        <v>31</v>
      </c>
      <c r="O933">
        <f>TBL_Employees[[#This Row],[Bonus %]]*TBL_Employees[[#This Row],[Annual Salary]]</f>
        <v>14717.279999999999</v>
      </c>
      <c r="P933" t="str">
        <f>IF(TBL_Employees[[#This Row],[Age]]&gt;50,"Senior","Junior")</f>
        <v>Senior</v>
      </c>
      <c r="Q933" s="14" t="str">
        <f>IF(OR(D933="IT", J933&gt;100000), "YES", "NO")</f>
        <v>YES</v>
      </c>
      <c r="R933" s="14">
        <f>YEAR(TBL_Employees[[#This Row],[Hire Date]])</f>
        <v>2011</v>
      </c>
    </row>
    <row r="934" spans="1:18" x14ac:dyDescent="0.35">
      <c r="A934" t="s">
        <v>1860</v>
      </c>
      <c r="B934" t="s">
        <v>1861</v>
      </c>
      <c r="C934" t="s">
        <v>53</v>
      </c>
      <c r="D934" t="s">
        <v>49</v>
      </c>
      <c r="E934" t="s">
        <v>18</v>
      </c>
      <c r="F934" t="s">
        <v>19</v>
      </c>
      <c r="G934" t="s">
        <v>28</v>
      </c>
      <c r="H934">
        <v>50</v>
      </c>
      <c r="I934" s="5">
        <v>36653</v>
      </c>
      <c r="J934" s="11">
        <v>106428</v>
      </c>
      <c r="K934" s="6">
        <v>7.0000000000000007E-2</v>
      </c>
      <c r="L934" t="s">
        <v>21</v>
      </c>
      <c r="M934" t="s">
        <v>38</v>
      </c>
      <c r="N934" s="5" t="s">
        <v>31</v>
      </c>
      <c r="O934">
        <f>TBL_Employees[[#This Row],[Bonus %]]*TBL_Employees[[#This Row],[Annual Salary]]</f>
        <v>7449.9600000000009</v>
      </c>
      <c r="P934" t="str">
        <f>IF(TBL_Employees[[#This Row],[Age]]&gt;50,"Senior","Junior")</f>
        <v>Junior</v>
      </c>
      <c r="Q934" s="14" t="str">
        <f>IF(OR(D934="IT", J934&gt;100000), "YES", "NO")</f>
        <v>YES</v>
      </c>
      <c r="R934" s="14">
        <f>YEAR(TBL_Employees[[#This Row],[Hire Date]])</f>
        <v>2000</v>
      </c>
    </row>
    <row r="935" spans="1:18" x14ac:dyDescent="0.35">
      <c r="A935" t="s">
        <v>1862</v>
      </c>
      <c r="B935" t="s">
        <v>1863</v>
      </c>
      <c r="C935" t="s">
        <v>80</v>
      </c>
      <c r="D935" t="s">
        <v>35</v>
      </c>
      <c r="E935" t="s">
        <v>50</v>
      </c>
      <c r="F935" t="s">
        <v>27</v>
      </c>
      <c r="G935" t="s">
        <v>37</v>
      </c>
      <c r="H935">
        <v>36</v>
      </c>
      <c r="I935" s="5">
        <v>39830</v>
      </c>
      <c r="J935" s="11">
        <v>238236</v>
      </c>
      <c r="K935" s="6">
        <v>0.31</v>
      </c>
      <c r="L935" t="s">
        <v>21</v>
      </c>
      <c r="M935" t="s">
        <v>22</v>
      </c>
      <c r="N935" s="5" t="s">
        <v>31</v>
      </c>
      <c r="O935">
        <f>TBL_Employees[[#This Row],[Bonus %]]*TBL_Employees[[#This Row],[Annual Salary]]</f>
        <v>73853.16</v>
      </c>
      <c r="P935" t="str">
        <f>IF(TBL_Employees[[#This Row],[Age]]&gt;50,"Senior","Junior")</f>
        <v>Junior</v>
      </c>
      <c r="Q935" s="14" t="str">
        <f>IF(OR(D935="IT", J935&gt;100000), "YES", "NO")</f>
        <v>YES</v>
      </c>
      <c r="R935" s="14">
        <f>YEAR(TBL_Employees[[#This Row],[Hire Date]])</f>
        <v>2009</v>
      </c>
    </row>
    <row r="936" spans="1:18" x14ac:dyDescent="0.35">
      <c r="A936" t="s">
        <v>1864</v>
      </c>
      <c r="B936" t="s">
        <v>1865</v>
      </c>
      <c r="C936" t="s">
        <v>34</v>
      </c>
      <c r="D936" t="s">
        <v>35</v>
      </c>
      <c r="E936" t="s">
        <v>50</v>
      </c>
      <c r="F936" t="s">
        <v>19</v>
      </c>
      <c r="G936" t="s">
        <v>37</v>
      </c>
      <c r="H936">
        <v>64</v>
      </c>
      <c r="I936" s="5">
        <v>41264</v>
      </c>
      <c r="J936" s="11">
        <v>153253</v>
      </c>
      <c r="K936" s="6">
        <v>0.24</v>
      </c>
      <c r="L936" t="s">
        <v>21</v>
      </c>
      <c r="M936" t="s">
        <v>61</v>
      </c>
      <c r="N936" s="5" t="s">
        <v>31</v>
      </c>
      <c r="O936">
        <f>TBL_Employees[[#This Row],[Bonus %]]*TBL_Employees[[#This Row],[Annual Salary]]</f>
        <v>36780.720000000001</v>
      </c>
      <c r="P936" t="str">
        <f>IF(TBL_Employees[[#This Row],[Age]]&gt;50,"Senior","Junior")</f>
        <v>Senior</v>
      </c>
      <c r="Q936" s="14" t="str">
        <f>IF(OR(D936="IT", J936&gt;100000), "YES", "NO")</f>
        <v>YES</v>
      </c>
      <c r="R936" s="14">
        <f>YEAR(TBL_Employees[[#This Row],[Hire Date]])</f>
        <v>2012</v>
      </c>
    </row>
    <row r="937" spans="1:18" x14ac:dyDescent="0.35">
      <c r="A937" t="s">
        <v>1866</v>
      </c>
      <c r="B937" t="s">
        <v>1867</v>
      </c>
      <c r="C937" t="s">
        <v>53</v>
      </c>
      <c r="D937" t="s">
        <v>60</v>
      </c>
      <c r="E937" t="s">
        <v>26</v>
      </c>
      <c r="F937" t="s">
        <v>19</v>
      </c>
      <c r="G937" t="s">
        <v>37</v>
      </c>
      <c r="H937">
        <v>34</v>
      </c>
      <c r="I937" s="5">
        <v>41915</v>
      </c>
      <c r="J937" s="11">
        <v>103707</v>
      </c>
      <c r="K937" s="6">
        <v>0.09</v>
      </c>
      <c r="L937" t="s">
        <v>21</v>
      </c>
      <c r="M937" t="s">
        <v>89</v>
      </c>
      <c r="N937" s="5" t="s">
        <v>31</v>
      </c>
      <c r="O937">
        <f>TBL_Employees[[#This Row],[Bonus %]]*TBL_Employees[[#This Row],[Annual Salary]]</f>
        <v>9333.6299999999992</v>
      </c>
      <c r="P937" t="str">
        <f>IF(TBL_Employees[[#This Row],[Age]]&gt;50,"Senior","Junior")</f>
        <v>Junior</v>
      </c>
      <c r="Q937" s="14" t="str">
        <f>IF(OR(D937="IT", J937&gt;100000), "YES", "NO")</f>
        <v>YES</v>
      </c>
      <c r="R937" s="14">
        <f>YEAR(TBL_Employees[[#This Row],[Hire Date]])</f>
        <v>2014</v>
      </c>
    </row>
    <row r="938" spans="1:18" x14ac:dyDescent="0.35">
      <c r="A938" t="s">
        <v>1868</v>
      </c>
      <c r="B938" t="s">
        <v>1869</v>
      </c>
      <c r="C938" t="s">
        <v>80</v>
      </c>
      <c r="D938" t="s">
        <v>60</v>
      </c>
      <c r="E938" t="s">
        <v>36</v>
      </c>
      <c r="F938" t="s">
        <v>19</v>
      </c>
      <c r="G938" t="s">
        <v>37</v>
      </c>
      <c r="H938">
        <v>41</v>
      </c>
      <c r="I938" s="5">
        <v>41130</v>
      </c>
      <c r="J938" s="11">
        <v>245360</v>
      </c>
      <c r="K938" s="6">
        <v>0.37</v>
      </c>
      <c r="L938" t="s">
        <v>21</v>
      </c>
      <c r="M938" t="s">
        <v>61</v>
      </c>
      <c r="N938" s="5" t="s">
        <v>31</v>
      </c>
      <c r="O938">
        <f>TBL_Employees[[#This Row],[Bonus %]]*TBL_Employees[[#This Row],[Annual Salary]]</f>
        <v>90783.2</v>
      </c>
      <c r="P938" t="str">
        <f>IF(TBL_Employees[[#This Row],[Age]]&gt;50,"Senior","Junior")</f>
        <v>Junior</v>
      </c>
      <c r="Q938" s="14" t="str">
        <f>IF(OR(D938="IT", J938&gt;100000), "YES", "NO")</f>
        <v>YES</v>
      </c>
      <c r="R938" s="14">
        <f>YEAR(TBL_Employees[[#This Row],[Hire Date]])</f>
        <v>2012</v>
      </c>
    </row>
    <row r="939" spans="1:18" x14ac:dyDescent="0.35">
      <c r="A939" t="s">
        <v>1870</v>
      </c>
      <c r="B939" t="s">
        <v>1871</v>
      </c>
      <c r="C939" t="s">
        <v>278</v>
      </c>
      <c r="D939" t="s">
        <v>70</v>
      </c>
      <c r="E939" t="s">
        <v>36</v>
      </c>
      <c r="F939" t="s">
        <v>27</v>
      </c>
      <c r="G939" t="s">
        <v>28</v>
      </c>
      <c r="H939">
        <v>25</v>
      </c>
      <c r="I939" s="5">
        <v>44385</v>
      </c>
      <c r="J939" s="11">
        <v>67275</v>
      </c>
      <c r="K939" s="6">
        <v>0</v>
      </c>
      <c r="L939" t="s">
        <v>21</v>
      </c>
      <c r="M939" t="s">
        <v>89</v>
      </c>
      <c r="N939" s="5" t="s">
        <v>31</v>
      </c>
      <c r="O939">
        <f>TBL_Employees[[#This Row],[Bonus %]]*TBL_Employees[[#This Row],[Annual Salary]]</f>
        <v>0</v>
      </c>
      <c r="P939" t="str">
        <f>IF(TBL_Employees[[#This Row],[Age]]&gt;50,"Senior","Junior")</f>
        <v>Junior</v>
      </c>
      <c r="Q939" s="14" t="str">
        <f>IF(OR(D939="IT", J939&gt;100000), "YES", "NO")</f>
        <v>NO</v>
      </c>
      <c r="R939" s="14">
        <f>YEAR(TBL_Employees[[#This Row],[Hire Date]])</f>
        <v>2021</v>
      </c>
    </row>
    <row r="940" spans="1:18" x14ac:dyDescent="0.35">
      <c r="A940" t="s">
        <v>1872</v>
      </c>
      <c r="B940" t="s">
        <v>1873</v>
      </c>
      <c r="C940" t="s">
        <v>53</v>
      </c>
      <c r="D940" t="s">
        <v>17</v>
      </c>
      <c r="E940" t="s">
        <v>26</v>
      </c>
      <c r="F940" t="s">
        <v>27</v>
      </c>
      <c r="G940" t="s">
        <v>28</v>
      </c>
      <c r="H940">
        <v>45</v>
      </c>
      <c r="I940" s="5">
        <v>42026</v>
      </c>
      <c r="J940" s="11">
        <v>101288</v>
      </c>
      <c r="K940" s="6">
        <v>0.1</v>
      </c>
      <c r="L940" t="s">
        <v>21</v>
      </c>
      <c r="M940" t="s">
        <v>45</v>
      </c>
      <c r="N940" s="5" t="s">
        <v>31</v>
      </c>
      <c r="O940">
        <f>TBL_Employees[[#This Row],[Bonus %]]*TBL_Employees[[#This Row],[Annual Salary]]</f>
        <v>10128.800000000001</v>
      </c>
      <c r="P940" t="str">
        <f>IF(TBL_Employees[[#This Row],[Age]]&gt;50,"Senior","Junior")</f>
        <v>Junior</v>
      </c>
      <c r="Q940" s="14" t="str">
        <f>IF(OR(D940="IT", J940&gt;100000), "YES", "NO")</f>
        <v>YES</v>
      </c>
      <c r="R940" s="14">
        <f>YEAR(TBL_Employees[[#This Row],[Hire Date]])</f>
        <v>2015</v>
      </c>
    </row>
    <row r="941" spans="1:18" x14ac:dyDescent="0.35">
      <c r="A941" t="s">
        <v>259</v>
      </c>
      <c r="B941" t="s">
        <v>1874</v>
      </c>
      <c r="C941" t="s">
        <v>34</v>
      </c>
      <c r="D941" t="s">
        <v>66</v>
      </c>
      <c r="E941" t="s">
        <v>36</v>
      </c>
      <c r="F941" t="s">
        <v>19</v>
      </c>
      <c r="G941" t="s">
        <v>86</v>
      </c>
      <c r="H941">
        <v>52</v>
      </c>
      <c r="I941" s="5">
        <v>34209</v>
      </c>
      <c r="J941" s="11">
        <v>177443</v>
      </c>
      <c r="K941" s="6">
        <v>0.25</v>
      </c>
      <c r="L941" t="s">
        <v>94</v>
      </c>
      <c r="M941" t="s">
        <v>219</v>
      </c>
      <c r="N941" s="5" t="s">
        <v>31</v>
      </c>
      <c r="O941">
        <f>TBL_Employees[[#This Row],[Bonus %]]*TBL_Employees[[#This Row],[Annual Salary]]</f>
        <v>44360.75</v>
      </c>
      <c r="P941" t="str">
        <f>IF(TBL_Employees[[#This Row],[Age]]&gt;50,"Senior","Junior")</f>
        <v>Senior</v>
      </c>
      <c r="Q941" s="14" t="str">
        <f>IF(OR(D941="IT", J941&gt;100000), "YES", "NO")</f>
        <v>YES</v>
      </c>
      <c r="R941" s="14">
        <f>YEAR(TBL_Employees[[#This Row],[Hire Date]])</f>
        <v>1993</v>
      </c>
    </row>
    <row r="942" spans="1:18" x14ac:dyDescent="0.35">
      <c r="A942" t="s">
        <v>1875</v>
      </c>
      <c r="B942" t="s">
        <v>1876</v>
      </c>
      <c r="C942" t="s">
        <v>208</v>
      </c>
      <c r="D942" t="s">
        <v>17</v>
      </c>
      <c r="E942" t="s">
        <v>26</v>
      </c>
      <c r="F942" t="s">
        <v>19</v>
      </c>
      <c r="G942" t="s">
        <v>20</v>
      </c>
      <c r="H942">
        <v>37</v>
      </c>
      <c r="I942" s="5">
        <v>42487</v>
      </c>
      <c r="J942" s="11">
        <v>91400</v>
      </c>
      <c r="K942" s="6">
        <v>0</v>
      </c>
      <c r="L942" t="s">
        <v>21</v>
      </c>
      <c r="M942" t="s">
        <v>38</v>
      </c>
      <c r="N942" s="5" t="s">
        <v>31</v>
      </c>
      <c r="O942">
        <f>TBL_Employees[[#This Row],[Bonus %]]*TBL_Employees[[#This Row],[Annual Salary]]</f>
        <v>0</v>
      </c>
      <c r="P942" t="str">
        <f>IF(TBL_Employees[[#This Row],[Age]]&gt;50,"Senior","Junior")</f>
        <v>Junior</v>
      </c>
      <c r="Q942" s="14" t="str">
        <f>IF(OR(D942="IT", J942&gt;100000), "YES", "NO")</f>
        <v>YES</v>
      </c>
      <c r="R942" s="14">
        <f>YEAR(TBL_Employees[[#This Row],[Hire Date]])</f>
        <v>2016</v>
      </c>
    </row>
    <row r="943" spans="1:18" x14ac:dyDescent="0.35">
      <c r="A943" t="s">
        <v>1877</v>
      </c>
      <c r="B943" t="s">
        <v>1878</v>
      </c>
      <c r="C943" t="s">
        <v>80</v>
      </c>
      <c r="D943" t="s">
        <v>66</v>
      </c>
      <c r="E943" t="s">
        <v>50</v>
      </c>
      <c r="F943" t="s">
        <v>27</v>
      </c>
      <c r="G943" t="s">
        <v>86</v>
      </c>
      <c r="H943">
        <v>44</v>
      </c>
      <c r="I943" s="5">
        <v>39335</v>
      </c>
      <c r="J943" s="11">
        <v>181247</v>
      </c>
      <c r="K943" s="6">
        <v>0.33</v>
      </c>
      <c r="L943" t="s">
        <v>94</v>
      </c>
      <c r="M943" t="s">
        <v>219</v>
      </c>
      <c r="N943" s="5" t="s">
        <v>31</v>
      </c>
      <c r="O943">
        <f>TBL_Employees[[#This Row],[Bonus %]]*TBL_Employees[[#This Row],[Annual Salary]]</f>
        <v>59811.51</v>
      </c>
      <c r="P943" t="str">
        <f>IF(TBL_Employees[[#This Row],[Age]]&gt;50,"Senior","Junior")</f>
        <v>Junior</v>
      </c>
      <c r="Q943" s="14" t="str">
        <f>IF(OR(D943="IT", J943&gt;100000), "YES", "NO")</f>
        <v>YES</v>
      </c>
      <c r="R943" s="14">
        <f>YEAR(TBL_Employees[[#This Row],[Hire Date]])</f>
        <v>2007</v>
      </c>
    </row>
    <row r="944" spans="1:18" x14ac:dyDescent="0.35">
      <c r="A944" t="s">
        <v>1879</v>
      </c>
      <c r="B944" t="s">
        <v>1880</v>
      </c>
      <c r="C944" t="s">
        <v>16</v>
      </c>
      <c r="D944" t="s">
        <v>66</v>
      </c>
      <c r="E944" t="s">
        <v>18</v>
      </c>
      <c r="F944" t="s">
        <v>27</v>
      </c>
      <c r="G944" t="s">
        <v>20</v>
      </c>
      <c r="H944">
        <v>42</v>
      </c>
      <c r="I944" s="5">
        <v>37914</v>
      </c>
      <c r="J944" s="11">
        <v>135558</v>
      </c>
      <c r="K944" s="6">
        <v>0.14000000000000001</v>
      </c>
      <c r="L944" t="s">
        <v>21</v>
      </c>
      <c r="M944" t="s">
        <v>45</v>
      </c>
      <c r="N944" s="5" t="s">
        <v>31</v>
      </c>
      <c r="O944">
        <f>TBL_Employees[[#This Row],[Bonus %]]*TBL_Employees[[#This Row],[Annual Salary]]</f>
        <v>18978.120000000003</v>
      </c>
      <c r="P944" t="str">
        <f>IF(TBL_Employees[[#This Row],[Age]]&gt;50,"Senior","Junior")</f>
        <v>Junior</v>
      </c>
      <c r="Q944" s="14" t="str">
        <f>IF(OR(D944="IT", J944&gt;100000), "YES", "NO")</f>
        <v>YES</v>
      </c>
      <c r="R944" s="14">
        <f>YEAR(TBL_Employees[[#This Row],[Hire Date]])</f>
        <v>2003</v>
      </c>
    </row>
    <row r="945" spans="1:18" x14ac:dyDescent="0.35">
      <c r="A945" t="s">
        <v>1881</v>
      </c>
      <c r="B945" t="s">
        <v>1342</v>
      </c>
      <c r="C945" t="s">
        <v>56</v>
      </c>
      <c r="D945" t="s">
        <v>60</v>
      </c>
      <c r="E945" t="s">
        <v>36</v>
      </c>
      <c r="F945" t="s">
        <v>27</v>
      </c>
      <c r="G945" t="s">
        <v>37</v>
      </c>
      <c r="H945">
        <v>49</v>
      </c>
      <c r="I945" s="5">
        <v>40894</v>
      </c>
      <c r="J945" s="11">
        <v>56878</v>
      </c>
      <c r="K945" s="6">
        <v>0</v>
      </c>
      <c r="L945" t="s">
        <v>21</v>
      </c>
      <c r="M945" t="s">
        <v>22</v>
      </c>
      <c r="N945" s="5" t="s">
        <v>31</v>
      </c>
      <c r="O945">
        <f>TBL_Employees[[#This Row],[Bonus %]]*TBL_Employees[[#This Row],[Annual Salary]]</f>
        <v>0</v>
      </c>
      <c r="P945" t="str">
        <f>IF(TBL_Employees[[#This Row],[Age]]&gt;50,"Senior","Junior")</f>
        <v>Junior</v>
      </c>
      <c r="Q945" s="14" t="str">
        <f>IF(OR(D945="IT", J945&gt;100000), "YES", "NO")</f>
        <v>NO</v>
      </c>
      <c r="R945" s="14">
        <f>YEAR(TBL_Employees[[#This Row],[Hire Date]])</f>
        <v>2011</v>
      </c>
    </row>
    <row r="946" spans="1:18" x14ac:dyDescent="0.35">
      <c r="A946" t="s">
        <v>1882</v>
      </c>
      <c r="B946" t="s">
        <v>1883</v>
      </c>
      <c r="C946" t="s">
        <v>443</v>
      </c>
      <c r="D946" t="s">
        <v>17</v>
      </c>
      <c r="E946" t="s">
        <v>36</v>
      </c>
      <c r="F946" t="s">
        <v>27</v>
      </c>
      <c r="G946" t="s">
        <v>28</v>
      </c>
      <c r="H946">
        <v>34</v>
      </c>
      <c r="I946" s="5">
        <v>43728</v>
      </c>
      <c r="J946" s="11">
        <v>94735</v>
      </c>
      <c r="K946" s="6">
        <v>0</v>
      </c>
      <c r="L946" t="s">
        <v>29</v>
      </c>
      <c r="M946" t="s">
        <v>115</v>
      </c>
      <c r="N946" s="5" t="s">
        <v>31</v>
      </c>
      <c r="O946">
        <f>TBL_Employees[[#This Row],[Bonus %]]*TBL_Employees[[#This Row],[Annual Salary]]</f>
        <v>0</v>
      </c>
      <c r="P946" t="str">
        <f>IF(TBL_Employees[[#This Row],[Age]]&gt;50,"Senior","Junior")</f>
        <v>Junior</v>
      </c>
      <c r="Q946" s="14" t="str">
        <f>IF(OR(D946="IT", J946&gt;100000), "YES", "NO")</f>
        <v>YES</v>
      </c>
      <c r="R946" s="14">
        <f>YEAR(TBL_Employees[[#This Row],[Hire Date]])</f>
        <v>2019</v>
      </c>
    </row>
    <row r="947" spans="1:18" x14ac:dyDescent="0.35">
      <c r="A947" t="s">
        <v>1884</v>
      </c>
      <c r="B947" t="s">
        <v>1885</v>
      </c>
      <c r="C947" t="s">
        <v>125</v>
      </c>
      <c r="D947" t="s">
        <v>49</v>
      </c>
      <c r="E947" t="s">
        <v>26</v>
      </c>
      <c r="F947" t="s">
        <v>27</v>
      </c>
      <c r="G947" t="s">
        <v>86</v>
      </c>
      <c r="H947">
        <v>39</v>
      </c>
      <c r="I947" s="5">
        <v>39229</v>
      </c>
      <c r="J947" s="11">
        <v>51234</v>
      </c>
      <c r="K947" s="6">
        <v>0</v>
      </c>
      <c r="L947" t="s">
        <v>21</v>
      </c>
      <c r="M947" t="s">
        <v>22</v>
      </c>
      <c r="N947" s="5" t="s">
        <v>31</v>
      </c>
      <c r="O947">
        <f>TBL_Employees[[#This Row],[Bonus %]]*TBL_Employees[[#This Row],[Annual Salary]]</f>
        <v>0</v>
      </c>
      <c r="P947" t="str">
        <f>IF(TBL_Employees[[#This Row],[Age]]&gt;50,"Senior","Junior")</f>
        <v>Junior</v>
      </c>
      <c r="Q947" s="14" t="str">
        <f>IF(OR(D947="IT", J947&gt;100000), "YES", "NO")</f>
        <v>NO</v>
      </c>
      <c r="R947" s="14">
        <f>YEAR(TBL_Employees[[#This Row],[Hire Date]])</f>
        <v>2007</v>
      </c>
    </row>
    <row r="948" spans="1:18" x14ac:dyDescent="0.35">
      <c r="A948" t="s">
        <v>1349</v>
      </c>
      <c r="B948" t="s">
        <v>1886</v>
      </c>
      <c r="C948" t="s">
        <v>80</v>
      </c>
      <c r="D948" t="s">
        <v>66</v>
      </c>
      <c r="E948" t="s">
        <v>36</v>
      </c>
      <c r="F948" t="s">
        <v>27</v>
      </c>
      <c r="G948" t="s">
        <v>28</v>
      </c>
      <c r="H948">
        <v>31</v>
      </c>
      <c r="I948" s="5">
        <v>42018</v>
      </c>
      <c r="J948" s="11">
        <v>230025</v>
      </c>
      <c r="K948" s="6">
        <v>0.34</v>
      </c>
      <c r="L948" t="s">
        <v>21</v>
      </c>
      <c r="M948" t="s">
        <v>45</v>
      </c>
      <c r="N948" s="5" t="s">
        <v>31</v>
      </c>
      <c r="O948">
        <f>TBL_Employees[[#This Row],[Bonus %]]*TBL_Employees[[#This Row],[Annual Salary]]</f>
        <v>78208.5</v>
      </c>
      <c r="P948" t="str">
        <f>IF(TBL_Employees[[#This Row],[Age]]&gt;50,"Senior","Junior")</f>
        <v>Junior</v>
      </c>
      <c r="Q948" s="14" t="str">
        <f>IF(OR(D948="IT", J948&gt;100000), "YES", "NO")</f>
        <v>YES</v>
      </c>
      <c r="R948" s="14">
        <f>YEAR(TBL_Employees[[#This Row],[Hire Date]])</f>
        <v>2015</v>
      </c>
    </row>
    <row r="949" spans="1:18" x14ac:dyDescent="0.35">
      <c r="A949" t="s">
        <v>1887</v>
      </c>
      <c r="B949" t="s">
        <v>1888</v>
      </c>
      <c r="C949" t="s">
        <v>16</v>
      </c>
      <c r="D949" t="s">
        <v>66</v>
      </c>
      <c r="E949" t="s">
        <v>36</v>
      </c>
      <c r="F949" t="s">
        <v>19</v>
      </c>
      <c r="G949" t="s">
        <v>28</v>
      </c>
      <c r="H949">
        <v>36</v>
      </c>
      <c r="I949" s="5">
        <v>40248</v>
      </c>
      <c r="J949" s="11">
        <v>134006</v>
      </c>
      <c r="K949" s="6">
        <v>0.13</v>
      </c>
      <c r="L949" t="s">
        <v>29</v>
      </c>
      <c r="M949" t="s">
        <v>115</v>
      </c>
      <c r="N949" s="5" t="s">
        <v>31</v>
      </c>
      <c r="O949">
        <f>TBL_Employees[[#This Row],[Bonus %]]*TBL_Employees[[#This Row],[Annual Salary]]</f>
        <v>17420.78</v>
      </c>
      <c r="P949" t="str">
        <f>IF(TBL_Employees[[#This Row],[Age]]&gt;50,"Senior","Junior")</f>
        <v>Junior</v>
      </c>
      <c r="Q949" s="14" t="str">
        <f>IF(OR(D949="IT", J949&gt;100000), "YES", "NO")</f>
        <v>YES</v>
      </c>
      <c r="R949" s="14">
        <f>YEAR(TBL_Employees[[#This Row],[Hire Date]])</f>
        <v>2010</v>
      </c>
    </row>
    <row r="950" spans="1:18" x14ac:dyDescent="0.35">
      <c r="A950" t="s">
        <v>1889</v>
      </c>
      <c r="B950" t="s">
        <v>1890</v>
      </c>
      <c r="C950" t="s">
        <v>53</v>
      </c>
      <c r="D950" t="s">
        <v>35</v>
      </c>
      <c r="E950" t="s">
        <v>50</v>
      </c>
      <c r="F950" t="s">
        <v>19</v>
      </c>
      <c r="G950" t="s">
        <v>28</v>
      </c>
      <c r="H950">
        <v>61</v>
      </c>
      <c r="I950" s="5">
        <v>40092</v>
      </c>
      <c r="J950" s="11">
        <v>103096</v>
      </c>
      <c r="K950" s="6">
        <v>7.0000000000000007E-2</v>
      </c>
      <c r="L950" t="s">
        <v>29</v>
      </c>
      <c r="M950" t="s">
        <v>115</v>
      </c>
      <c r="N950" s="5" t="s">
        <v>31</v>
      </c>
      <c r="O950">
        <f>TBL_Employees[[#This Row],[Bonus %]]*TBL_Employees[[#This Row],[Annual Salary]]</f>
        <v>7216.72</v>
      </c>
      <c r="P950" t="str">
        <f>IF(TBL_Employees[[#This Row],[Age]]&gt;50,"Senior","Junior")</f>
        <v>Senior</v>
      </c>
      <c r="Q950" s="14" t="str">
        <f>IF(OR(D950="IT", J950&gt;100000), "YES", "NO")</f>
        <v>YES</v>
      </c>
      <c r="R950" s="14">
        <f>YEAR(TBL_Employees[[#This Row],[Hire Date]])</f>
        <v>2009</v>
      </c>
    </row>
    <row r="951" spans="1:18" x14ac:dyDescent="0.35">
      <c r="A951" t="s">
        <v>1891</v>
      </c>
      <c r="B951" t="s">
        <v>1892</v>
      </c>
      <c r="C951" t="s">
        <v>56</v>
      </c>
      <c r="D951" t="s">
        <v>60</v>
      </c>
      <c r="E951" t="s">
        <v>26</v>
      </c>
      <c r="F951" t="s">
        <v>27</v>
      </c>
      <c r="G951" t="s">
        <v>28</v>
      </c>
      <c r="H951">
        <v>29</v>
      </c>
      <c r="I951" s="5">
        <v>42602</v>
      </c>
      <c r="J951" s="11">
        <v>58703</v>
      </c>
      <c r="K951" s="6">
        <v>0</v>
      </c>
      <c r="L951" t="s">
        <v>21</v>
      </c>
      <c r="M951" t="s">
        <v>89</v>
      </c>
      <c r="N951" s="5" t="s">
        <v>31</v>
      </c>
      <c r="O951">
        <f>TBL_Employees[[#This Row],[Bonus %]]*TBL_Employees[[#This Row],[Annual Salary]]</f>
        <v>0</v>
      </c>
      <c r="P951" t="str">
        <f>IF(TBL_Employees[[#This Row],[Age]]&gt;50,"Senior","Junior")</f>
        <v>Junior</v>
      </c>
      <c r="Q951" s="14" t="str">
        <f>IF(OR(D951="IT", J951&gt;100000), "YES", "NO")</f>
        <v>NO</v>
      </c>
      <c r="R951" s="14">
        <f>YEAR(TBL_Employees[[#This Row],[Hire Date]])</f>
        <v>2016</v>
      </c>
    </row>
    <row r="952" spans="1:18" x14ac:dyDescent="0.35">
      <c r="A952" t="s">
        <v>1893</v>
      </c>
      <c r="B952" t="s">
        <v>1894</v>
      </c>
      <c r="C952" t="s">
        <v>16</v>
      </c>
      <c r="D952" t="s">
        <v>17</v>
      </c>
      <c r="E952" t="s">
        <v>36</v>
      </c>
      <c r="F952" t="s">
        <v>27</v>
      </c>
      <c r="G952" t="s">
        <v>86</v>
      </c>
      <c r="H952">
        <v>33</v>
      </c>
      <c r="I952" s="5">
        <v>41267</v>
      </c>
      <c r="J952" s="11">
        <v>132544</v>
      </c>
      <c r="K952" s="6">
        <v>0.1</v>
      </c>
      <c r="L952" t="s">
        <v>94</v>
      </c>
      <c r="M952" t="s">
        <v>100</v>
      </c>
      <c r="N952" s="5" t="s">
        <v>31</v>
      </c>
      <c r="O952">
        <f>TBL_Employees[[#This Row],[Bonus %]]*TBL_Employees[[#This Row],[Annual Salary]]</f>
        <v>13254.400000000001</v>
      </c>
      <c r="P952" t="str">
        <f>IF(TBL_Employees[[#This Row],[Age]]&gt;50,"Senior","Junior")</f>
        <v>Junior</v>
      </c>
      <c r="Q952" s="14" t="str">
        <f>IF(OR(D952="IT", J952&gt;100000), "YES", "NO")</f>
        <v>YES</v>
      </c>
      <c r="R952" s="14">
        <f>YEAR(TBL_Employees[[#This Row],[Hire Date]])</f>
        <v>2012</v>
      </c>
    </row>
    <row r="953" spans="1:18" x14ac:dyDescent="0.35">
      <c r="A953" t="s">
        <v>1895</v>
      </c>
      <c r="B953" t="s">
        <v>1896</v>
      </c>
      <c r="C953" t="s">
        <v>53</v>
      </c>
      <c r="D953" t="s">
        <v>35</v>
      </c>
      <c r="E953" t="s">
        <v>26</v>
      </c>
      <c r="F953" t="s">
        <v>27</v>
      </c>
      <c r="G953" t="s">
        <v>37</v>
      </c>
      <c r="H953">
        <v>32</v>
      </c>
      <c r="I953" s="5">
        <v>43936</v>
      </c>
      <c r="J953" s="11">
        <v>126671</v>
      </c>
      <c r="K953" s="6">
        <v>0.09</v>
      </c>
      <c r="L953" t="s">
        <v>21</v>
      </c>
      <c r="M953" t="s">
        <v>57</v>
      </c>
      <c r="N953" s="5" t="s">
        <v>31</v>
      </c>
      <c r="O953">
        <f>TBL_Employees[[#This Row],[Bonus %]]*TBL_Employees[[#This Row],[Annual Salary]]</f>
        <v>11400.39</v>
      </c>
      <c r="P953" t="str">
        <f>IF(TBL_Employees[[#This Row],[Age]]&gt;50,"Senior","Junior")</f>
        <v>Junior</v>
      </c>
      <c r="Q953" s="14" t="str">
        <f>IF(OR(D953="IT", J953&gt;100000), "YES", "NO")</f>
        <v>YES</v>
      </c>
      <c r="R953" s="14">
        <f>YEAR(TBL_Employees[[#This Row],[Hire Date]])</f>
        <v>2020</v>
      </c>
    </row>
    <row r="954" spans="1:18" x14ac:dyDescent="0.35">
      <c r="A954" t="s">
        <v>1897</v>
      </c>
      <c r="B954" t="s">
        <v>1898</v>
      </c>
      <c r="C954" t="s">
        <v>48</v>
      </c>
      <c r="D954" t="s">
        <v>49</v>
      </c>
      <c r="E954" t="s">
        <v>18</v>
      </c>
      <c r="F954" t="s">
        <v>19</v>
      </c>
      <c r="G954" t="s">
        <v>28</v>
      </c>
      <c r="H954">
        <v>33</v>
      </c>
      <c r="I954" s="5">
        <v>44218</v>
      </c>
      <c r="J954" s="11">
        <v>56405</v>
      </c>
      <c r="K954" s="6">
        <v>0</v>
      </c>
      <c r="L954" t="s">
        <v>21</v>
      </c>
      <c r="M954" t="s">
        <v>38</v>
      </c>
      <c r="N954" s="5" t="s">
        <v>31</v>
      </c>
      <c r="O954">
        <f>TBL_Employees[[#This Row],[Bonus %]]*TBL_Employees[[#This Row],[Annual Salary]]</f>
        <v>0</v>
      </c>
      <c r="P954" t="str">
        <f>IF(TBL_Employees[[#This Row],[Age]]&gt;50,"Senior","Junior")</f>
        <v>Junior</v>
      </c>
      <c r="Q954" s="14" t="str">
        <f>IF(OR(D954="IT", J954&gt;100000), "YES", "NO")</f>
        <v>NO</v>
      </c>
      <c r="R954" s="14">
        <f>YEAR(TBL_Employees[[#This Row],[Hire Date]])</f>
        <v>2021</v>
      </c>
    </row>
    <row r="955" spans="1:18" x14ac:dyDescent="0.35">
      <c r="A955" t="s">
        <v>1899</v>
      </c>
      <c r="B955" t="s">
        <v>1900</v>
      </c>
      <c r="C955" t="s">
        <v>41</v>
      </c>
      <c r="D955" t="s">
        <v>17</v>
      </c>
      <c r="E955" t="s">
        <v>36</v>
      </c>
      <c r="F955" t="s">
        <v>19</v>
      </c>
      <c r="G955" t="s">
        <v>28</v>
      </c>
      <c r="H955">
        <v>36</v>
      </c>
      <c r="I955" s="5">
        <v>41972</v>
      </c>
      <c r="J955" s="11">
        <v>88730</v>
      </c>
      <c r="K955" s="6">
        <v>0.08</v>
      </c>
      <c r="L955" t="s">
        <v>29</v>
      </c>
      <c r="M955" t="s">
        <v>30</v>
      </c>
      <c r="N955" s="5" t="s">
        <v>31</v>
      </c>
      <c r="O955">
        <f>TBL_Employees[[#This Row],[Bonus %]]*TBL_Employees[[#This Row],[Annual Salary]]</f>
        <v>7098.4000000000005</v>
      </c>
      <c r="P955" t="str">
        <f>IF(TBL_Employees[[#This Row],[Age]]&gt;50,"Senior","Junior")</f>
        <v>Junior</v>
      </c>
      <c r="Q955" s="14" t="str">
        <f>IF(OR(D955="IT", J955&gt;100000), "YES", "NO")</f>
        <v>YES</v>
      </c>
      <c r="R955" s="14">
        <f>YEAR(TBL_Employees[[#This Row],[Hire Date]])</f>
        <v>2014</v>
      </c>
    </row>
    <row r="956" spans="1:18" x14ac:dyDescent="0.35">
      <c r="A956" t="s">
        <v>1901</v>
      </c>
      <c r="B956" t="s">
        <v>1902</v>
      </c>
      <c r="C956" t="s">
        <v>125</v>
      </c>
      <c r="D956" t="s">
        <v>35</v>
      </c>
      <c r="E956" t="s">
        <v>26</v>
      </c>
      <c r="F956" t="s">
        <v>27</v>
      </c>
      <c r="G956" t="s">
        <v>86</v>
      </c>
      <c r="H956">
        <v>39</v>
      </c>
      <c r="I956" s="5">
        <v>39708</v>
      </c>
      <c r="J956" s="11">
        <v>62861</v>
      </c>
      <c r="K956" s="6">
        <v>0</v>
      </c>
      <c r="L956" t="s">
        <v>21</v>
      </c>
      <c r="M956" t="s">
        <v>22</v>
      </c>
      <c r="N956" s="5" t="s">
        <v>31</v>
      </c>
      <c r="O956">
        <f>TBL_Employees[[#This Row],[Bonus %]]*TBL_Employees[[#This Row],[Annual Salary]]</f>
        <v>0</v>
      </c>
      <c r="P956" t="str">
        <f>IF(TBL_Employees[[#This Row],[Age]]&gt;50,"Senior","Junior")</f>
        <v>Junior</v>
      </c>
      <c r="Q956" s="14" t="str">
        <f>IF(OR(D956="IT", J956&gt;100000), "YES", "NO")</f>
        <v>NO</v>
      </c>
      <c r="R956" s="14">
        <f>YEAR(TBL_Employees[[#This Row],[Hire Date]])</f>
        <v>2008</v>
      </c>
    </row>
    <row r="957" spans="1:18" x14ac:dyDescent="0.35">
      <c r="A957" t="s">
        <v>1903</v>
      </c>
      <c r="B957" t="s">
        <v>1904</v>
      </c>
      <c r="C957" t="s">
        <v>34</v>
      </c>
      <c r="D957" t="s">
        <v>66</v>
      </c>
      <c r="E957" t="s">
        <v>50</v>
      </c>
      <c r="F957" t="s">
        <v>19</v>
      </c>
      <c r="G957" t="s">
        <v>86</v>
      </c>
      <c r="H957">
        <v>53</v>
      </c>
      <c r="I957" s="5">
        <v>38919</v>
      </c>
      <c r="J957" s="11">
        <v>151246</v>
      </c>
      <c r="K957" s="6">
        <v>0.21</v>
      </c>
      <c r="L957" t="s">
        <v>94</v>
      </c>
      <c r="M957" t="s">
        <v>219</v>
      </c>
      <c r="N957" s="5" t="s">
        <v>31</v>
      </c>
      <c r="O957">
        <f>TBL_Employees[[#This Row],[Bonus %]]*TBL_Employees[[#This Row],[Annual Salary]]</f>
        <v>31761.66</v>
      </c>
      <c r="P957" t="str">
        <f>IF(TBL_Employees[[#This Row],[Age]]&gt;50,"Senior","Junior")</f>
        <v>Senior</v>
      </c>
      <c r="Q957" s="14" t="str">
        <f>IF(OR(D957="IT", J957&gt;100000), "YES", "NO")</f>
        <v>YES</v>
      </c>
      <c r="R957" s="14">
        <f>YEAR(TBL_Employees[[#This Row],[Hire Date]])</f>
        <v>2006</v>
      </c>
    </row>
    <row r="958" spans="1:18" x14ac:dyDescent="0.35">
      <c r="A958" t="s">
        <v>1905</v>
      </c>
      <c r="B958" t="s">
        <v>1906</v>
      </c>
      <c r="C958" t="s">
        <v>16</v>
      </c>
      <c r="D958" t="s">
        <v>17</v>
      </c>
      <c r="E958" t="s">
        <v>26</v>
      </c>
      <c r="F958" t="s">
        <v>19</v>
      </c>
      <c r="G958" t="s">
        <v>28</v>
      </c>
      <c r="H958">
        <v>53</v>
      </c>
      <c r="I958" s="5">
        <v>35532</v>
      </c>
      <c r="J958" s="11">
        <v>154388</v>
      </c>
      <c r="K958" s="6">
        <v>0.1</v>
      </c>
      <c r="L958" t="s">
        <v>21</v>
      </c>
      <c r="M958" t="s">
        <v>22</v>
      </c>
      <c r="N958" s="5" t="s">
        <v>31</v>
      </c>
      <c r="O958">
        <f>TBL_Employees[[#This Row],[Bonus %]]*TBL_Employees[[#This Row],[Annual Salary]]</f>
        <v>15438.800000000001</v>
      </c>
      <c r="P958" t="str">
        <f>IF(TBL_Employees[[#This Row],[Age]]&gt;50,"Senior","Junior")</f>
        <v>Senior</v>
      </c>
      <c r="Q958" s="14" t="str">
        <f>IF(OR(D958="IT", J958&gt;100000), "YES", "NO")</f>
        <v>YES</v>
      </c>
      <c r="R958" s="14">
        <f>YEAR(TBL_Employees[[#This Row],[Hire Date]])</f>
        <v>1997</v>
      </c>
    </row>
    <row r="959" spans="1:18" x14ac:dyDescent="0.35">
      <c r="A959" t="s">
        <v>970</v>
      </c>
      <c r="B959" t="s">
        <v>1907</v>
      </c>
      <c r="C959" t="s">
        <v>34</v>
      </c>
      <c r="D959" t="s">
        <v>66</v>
      </c>
      <c r="E959" t="s">
        <v>26</v>
      </c>
      <c r="F959" t="s">
        <v>19</v>
      </c>
      <c r="G959" t="s">
        <v>37</v>
      </c>
      <c r="H959">
        <v>54</v>
      </c>
      <c r="I959" s="5">
        <v>34603</v>
      </c>
      <c r="J959" s="11">
        <v>162978</v>
      </c>
      <c r="K959" s="6">
        <v>0.17</v>
      </c>
      <c r="L959" t="s">
        <v>21</v>
      </c>
      <c r="M959" t="s">
        <v>57</v>
      </c>
      <c r="N959" s="5">
        <v>38131</v>
      </c>
      <c r="O959">
        <f>TBL_Employees[[#This Row],[Bonus %]]*TBL_Employees[[#This Row],[Annual Salary]]</f>
        <v>27706.260000000002</v>
      </c>
      <c r="P959" t="str">
        <f>IF(TBL_Employees[[#This Row],[Age]]&gt;50,"Senior","Junior")</f>
        <v>Senior</v>
      </c>
      <c r="Q959" s="14" t="str">
        <f>IF(OR(D959="IT", J959&gt;100000), "YES", "NO")</f>
        <v>YES</v>
      </c>
      <c r="R959" s="14">
        <f>YEAR(TBL_Employees[[#This Row],[Hire Date]])</f>
        <v>1994</v>
      </c>
    </row>
    <row r="960" spans="1:18" x14ac:dyDescent="0.35">
      <c r="A960" t="s">
        <v>1908</v>
      </c>
      <c r="B960" t="s">
        <v>1909</v>
      </c>
      <c r="C960" t="s">
        <v>373</v>
      </c>
      <c r="D960" t="s">
        <v>17</v>
      </c>
      <c r="E960" t="s">
        <v>36</v>
      </c>
      <c r="F960" t="s">
        <v>27</v>
      </c>
      <c r="G960" t="s">
        <v>86</v>
      </c>
      <c r="H960">
        <v>55</v>
      </c>
      <c r="I960" s="5">
        <v>34290</v>
      </c>
      <c r="J960" s="11">
        <v>80170</v>
      </c>
      <c r="K960" s="6">
        <v>0</v>
      </c>
      <c r="L960" t="s">
        <v>21</v>
      </c>
      <c r="M960" t="s">
        <v>57</v>
      </c>
      <c r="N960" s="5" t="s">
        <v>31</v>
      </c>
      <c r="O960">
        <f>TBL_Employees[[#This Row],[Bonus %]]*TBL_Employees[[#This Row],[Annual Salary]]</f>
        <v>0</v>
      </c>
      <c r="P960" t="str">
        <f>IF(TBL_Employees[[#This Row],[Age]]&gt;50,"Senior","Junior")</f>
        <v>Senior</v>
      </c>
      <c r="Q960" s="14" t="str">
        <f>IF(OR(D960="IT", J960&gt;100000), "YES", "NO")</f>
        <v>YES</v>
      </c>
      <c r="R960" s="14">
        <f>YEAR(TBL_Employees[[#This Row],[Hire Date]])</f>
        <v>1993</v>
      </c>
    </row>
    <row r="961" spans="1:18" x14ac:dyDescent="0.35">
      <c r="A961" t="s">
        <v>1172</v>
      </c>
      <c r="B961" t="s">
        <v>1910</v>
      </c>
      <c r="C961" t="s">
        <v>44</v>
      </c>
      <c r="D961" t="s">
        <v>60</v>
      </c>
      <c r="E961" t="s">
        <v>26</v>
      </c>
      <c r="F961" t="s">
        <v>19</v>
      </c>
      <c r="G961" t="s">
        <v>28</v>
      </c>
      <c r="H961">
        <v>44</v>
      </c>
      <c r="I961" s="5">
        <v>44314</v>
      </c>
      <c r="J961" s="11">
        <v>98520</v>
      </c>
      <c r="K961" s="6">
        <v>0</v>
      </c>
      <c r="L961" t="s">
        <v>21</v>
      </c>
      <c r="M961" t="s">
        <v>57</v>
      </c>
      <c r="N961" s="5" t="s">
        <v>31</v>
      </c>
      <c r="O961">
        <f>TBL_Employees[[#This Row],[Bonus %]]*TBL_Employees[[#This Row],[Annual Salary]]</f>
        <v>0</v>
      </c>
      <c r="P961" t="str">
        <f>IF(TBL_Employees[[#This Row],[Age]]&gt;50,"Senior","Junior")</f>
        <v>Junior</v>
      </c>
      <c r="Q961" s="14" t="str">
        <f>IF(OR(D961="IT", J961&gt;100000), "YES", "NO")</f>
        <v>NO</v>
      </c>
      <c r="R961" s="14">
        <f>YEAR(TBL_Employees[[#This Row],[Hire Date]])</f>
        <v>2021</v>
      </c>
    </row>
    <row r="962" spans="1:18" x14ac:dyDescent="0.35">
      <c r="A962" t="s">
        <v>1536</v>
      </c>
      <c r="B962" t="s">
        <v>1911</v>
      </c>
      <c r="C962" t="s">
        <v>53</v>
      </c>
      <c r="D962" t="s">
        <v>35</v>
      </c>
      <c r="E962" t="s">
        <v>26</v>
      </c>
      <c r="F962" t="s">
        <v>27</v>
      </c>
      <c r="G962" t="s">
        <v>28</v>
      </c>
      <c r="H962">
        <v>52</v>
      </c>
      <c r="I962" s="5">
        <v>36523</v>
      </c>
      <c r="J962" s="11">
        <v>116527</v>
      </c>
      <c r="K962" s="6">
        <v>7.0000000000000007E-2</v>
      </c>
      <c r="L962" t="s">
        <v>21</v>
      </c>
      <c r="M962" t="s">
        <v>45</v>
      </c>
      <c r="N962" s="5" t="s">
        <v>31</v>
      </c>
      <c r="O962">
        <f>TBL_Employees[[#This Row],[Bonus %]]*TBL_Employees[[#This Row],[Annual Salary]]</f>
        <v>8156.89</v>
      </c>
      <c r="P962" t="str">
        <f>IF(TBL_Employees[[#This Row],[Age]]&gt;50,"Senior","Junior")</f>
        <v>Senior</v>
      </c>
      <c r="Q962" s="14" t="str">
        <f>IF(OR(D962="IT", J962&gt;100000), "YES", "NO")</f>
        <v>YES</v>
      </c>
      <c r="R962" s="14">
        <f>YEAR(TBL_Employees[[#This Row],[Hire Date]])</f>
        <v>1999</v>
      </c>
    </row>
    <row r="963" spans="1:18" x14ac:dyDescent="0.35">
      <c r="A963" t="s">
        <v>1699</v>
      </c>
      <c r="B963" t="s">
        <v>1912</v>
      </c>
      <c r="C963" t="s">
        <v>34</v>
      </c>
      <c r="D963" t="s">
        <v>49</v>
      </c>
      <c r="E963" t="s">
        <v>18</v>
      </c>
      <c r="F963" t="s">
        <v>27</v>
      </c>
      <c r="G963" t="s">
        <v>28</v>
      </c>
      <c r="H963">
        <v>27</v>
      </c>
      <c r="I963" s="5">
        <v>43776</v>
      </c>
      <c r="J963" s="11">
        <v>174607</v>
      </c>
      <c r="K963" s="6">
        <v>0.28999999999999998</v>
      </c>
      <c r="L963" t="s">
        <v>21</v>
      </c>
      <c r="M963" t="s">
        <v>89</v>
      </c>
      <c r="N963" s="5" t="s">
        <v>31</v>
      </c>
      <c r="O963">
        <f>TBL_Employees[[#This Row],[Bonus %]]*TBL_Employees[[#This Row],[Annual Salary]]</f>
        <v>50636.03</v>
      </c>
      <c r="P963" t="str">
        <f>IF(TBL_Employees[[#This Row],[Age]]&gt;50,"Senior","Junior")</f>
        <v>Junior</v>
      </c>
      <c r="Q963" s="14" t="str">
        <f>IF(OR(D963="IT", J963&gt;100000), "YES", "NO")</f>
        <v>YES</v>
      </c>
      <c r="R963" s="14">
        <f>YEAR(TBL_Employees[[#This Row],[Hire Date]])</f>
        <v>2019</v>
      </c>
    </row>
    <row r="964" spans="1:18" x14ac:dyDescent="0.35">
      <c r="A964" t="s">
        <v>1913</v>
      </c>
      <c r="B964" t="s">
        <v>1914</v>
      </c>
      <c r="C964" t="s">
        <v>125</v>
      </c>
      <c r="D964" t="s">
        <v>60</v>
      </c>
      <c r="E964" t="s">
        <v>18</v>
      </c>
      <c r="F964" t="s">
        <v>27</v>
      </c>
      <c r="G964" t="s">
        <v>86</v>
      </c>
      <c r="H964">
        <v>58</v>
      </c>
      <c r="I964" s="5">
        <v>38819</v>
      </c>
      <c r="J964" s="11">
        <v>64202</v>
      </c>
      <c r="K964" s="6">
        <v>0</v>
      </c>
      <c r="L964" t="s">
        <v>21</v>
      </c>
      <c r="M964" t="s">
        <v>89</v>
      </c>
      <c r="N964" s="5" t="s">
        <v>31</v>
      </c>
      <c r="O964">
        <f>TBL_Employees[[#This Row],[Bonus %]]*TBL_Employees[[#This Row],[Annual Salary]]</f>
        <v>0</v>
      </c>
      <c r="P964" t="str">
        <f>IF(TBL_Employees[[#This Row],[Age]]&gt;50,"Senior","Junior")</f>
        <v>Senior</v>
      </c>
      <c r="Q964" s="14" t="str">
        <f>IF(OR(D964="IT", J964&gt;100000), "YES", "NO")</f>
        <v>NO</v>
      </c>
      <c r="R964" s="14">
        <f>YEAR(TBL_Employees[[#This Row],[Hire Date]])</f>
        <v>2006</v>
      </c>
    </row>
    <row r="965" spans="1:18" x14ac:dyDescent="0.35">
      <c r="A965" t="s">
        <v>1135</v>
      </c>
      <c r="B965" t="s">
        <v>1915</v>
      </c>
      <c r="C965" t="s">
        <v>125</v>
      </c>
      <c r="D965" t="s">
        <v>60</v>
      </c>
      <c r="E965" t="s">
        <v>50</v>
      </c>
      <c r="F965" t="s">
        <v>27</v>
      </c>
      <c r="G965" t="s">
        <v>28</v>
      </c>
      <c r="H965">
        <v>49</v>
      </c>
      <c r="I965" s="5">
        <v>43671</v>
      </c>
      <c r="J965" s="11">
        <v>50883</v>
      </c>
      <c r="K965" s="6">
        <v>0</v>
      </c>
      <c r="L965" t="s">
        <v>29</v>
      </c>
      <c r="M965" t="s">
        <v>30</v>
      </c>
      <c r="N965" s="5">
        <v>44257</v>
      </c>
      <c r="O965">
        <f>TBL_Employees[[#This Row],[Bonus %]]*TBL_Employees[[#This Row],[Annual Salary]]</f>
        <v>0</v>
      </c>
      <c r="P965" t="str">
        <f>IF(TBL_Employees[[#This Row],[Age]]&gt;50,"Senior","Junior")</f>
        <v>Junior</v>
      </c>
      <c r="Q965" s="14" t="str">
        <f>IF(OR(D965="IT", J965&gt;100000), "YES", "NO")</f>
        <v>NO</v>
      </c>
      <c r="R965" s="14">
        <f>YEAR(TBL_Employees[[#This Row],[Hire Date]])</f>
        <v>2019</v>
      </c>
    </row>
    <row r="966" spans="1:18" x14ac:dyDescent="0.35">
      <c r="A966" t="s">
        <v>1916</v>
      </c>
      <c r="B966" t="s">
        <v>1917</v>
      </c>
      <c r="C966" t="s">
        <v>249</v>
      </c>
      <c r="D966" t="s">
        <v>17</v>
      </c>
      <c r="E966" t="s">
        <v>36</v>
      </c>
      <c r="F966" t="s">
        <v>19</v>
      </c>
      <c r="G966" t="s">
        <v>86</v>
      </c>
      <c r="H966">
        <v>36</v>
      </c>
      <c r="I966" s="5">
        <v>42677</v>
      </c>
      <c r="J966" s="11">
        <v>94618</v>
      </c>
      <c r="K966" s="6">
        <v>0</v>
      </c>
      <c r="L966" t="s">
        <v>21</v>
      </c>
      <c r="M966" t="s">
        <v>89</v>
      </c>
      <c r="N966" s="5" t="s">
        <v>31</v>
      </c>
      <c r="O966">
        <f>TBL_Employees[[#This Row],[Bonus %]]*TBL_Employees[[#This Row],[Annual Salary]]</f>
        <v>0</v>
      </c>
      <c r="P966" t="str">
        <f>IF(TBL_Employees[[#This Row],[Age]]&gt;50,"Senior","Junior")</f>
        <v>Junior</v>
      </c>
      <c r="Q966" s="14" t="str">
        <f>IF(OR(D966="IT", J966&gt;100000), "YES", "NO")</f>
        <v>YES</v>
      </c>
      <c r="R966" s="14">
        <f>YEAR(TBL_Employees[[#This Row],[Hire Date]])</f>
        <v>2016</v>
      </c>
    </row>
    <row r="967" spans="1:18" x14ac:dyDescent="0.35">
      <c r="A967" t="s">
        <v>1918</v>
      </c>
      <c r="B967" t="s">
        <v>1919</v>
      </c>
      <c r="C967" t="s">
        <v>34</v>
      </c>
      <c r="D967" t="s">
        <v>81</v>
      </c>
      <c r="E967" t="s">
        <v>18</v>
      </c>
      <c r="F967" t="s">
        <v>27</v>
      </c>
      <c r="G967" t="s">
        <v>37</v>
      </c>
      <c r="H967">
        <v>26</v>
      </c>
      <c r="I967" s="5">
        <v>43753</v>
      </c>
      <c r="J967" s="11">
        <v>151556</v>
      </c>
      <c r="K967" s="6">
        <v>0.2</v>
      </c>
      <c r="L967" t="s">
        <v>21</v>
      </c>
      <c r="M967" t="s">
        <v>57</v>
      </c>
      <c r="N967" s="5" t="s">
        <v>31</v>
      </c>
      <c r="O967">
        <f>TBL_Employees[[#This Row],[Bonus %]]*TBL_Employees[[#This Row],[Annual Salary]]</f>
        <v>30311.200000000001</v>
      </c>
      <c r="P967" t="str">
        <f>IF(TBL_Employees[[#This Row],[Age]]&gt;50,"Senior","Junior")</f>
        <v>Junior</v>
      </c>
      <c r="Q967" s="14" t="str">
        <f>IF(OR(D967="IT", J967&gt;100000), "YES", "NO")</f>
        <v>YES</v>
      </c>
      <c r="R967" s="14">
        <f>YEAR(TBL_Employees[[#This Row],[Hire Date]])</f>
        <v>2019</v>
      </c>
    </row>
    <row r="968" spans="1:18" x14ac:dyDescent="0.35">
      <c r="A968" t="s">
        <v>1920</v>
      </c>
      <c r="B968" t="s">
        <v>1921</v>
      </c>
      <c r="C968" t="s">
        <v>278</v>
      </c>
      <c r="D968" t="s">
        <v>70</v>
      </c>
      <c r="E968" t="s">
        <v>18</v>
      </c>
      <c r="F968" t="s">
        <v>19</v>
      </c>
      <c r="G968" t="s">
        <v>28</v>
      </c>
      <c r="H968">
        <v>37</v>
      </c>
      <c r="I968" s="5">
        <v>43898</v>
      </c>
      <c r="J968" s="11">
        <v>80659</v>
      </c>
      <c r="K968" s="6">
        <v>0</v>
      </c>
      <c r="L968" t="s">
        <v>21</v>
      </c>
      <c r="M968" t="s">
        <v>45</v>
      </c>
      <c r="N968" s="5" t="s">
        <v>31</v>
      </c>
      <c r="O968">
        <f>TBL_Employees[[#This Row],[Bonus %]]*TBL_Employees[[#This Row],[Annual Salary]]</f>
        <v>0</v>
      </c>
      <c r="P968" t="str">
        <f>IF(TBL_Employees[[#This Row],[Age]]&gt;50,"Senior","Junior")</f>
        <v>Junior</v>
      </c>
      <c r="Q968" s="14" t="str">
        <f>IF(OR(D968="IT", J968&gt;100000), "YES", "NO")</f>
        <v>NO</v>
      </c>
      <c r="R968" s="14">
        <f>YEAR(TBL_Employees[[#This Row],[Hire Date]])</f>
        <v>2020</v>
      </c>
    </row>
    <row r="969" spans="1:18" x14ac:dyDescent="0.35">
      <c r="A969" t="s">
        <v>1922</v>
      </c>
      <c r="B969" t="s">
        <v>1923</v>
      </c>
      <c r="C969" t="s">
        <v>34</v>
      </c>
      <c r="D969" t="s">
        <v>66</v>
      </c>
      <c r="E969" t="s">
        <v>36</v>
      </c>
      <c r="F969" t="s">
        <v>27</v>
      </c>
      <c r="G969" t="s">
        <v>28</v>
      </c>
      <c r="H969">
        <v>47</v>
      </c>
      <c r="I969" s="5">
        <v>43772</v>
      </c>
      <c r="J969" s="11">
        <v>195385</v>
      </c>
      <c r="K969" s="6">
        <v>0.21</v>
      </c>
      <c r="L969" t="s">
        <v>29</v>
      </c>
      <c r="M969" t="s">
        <v>135</v>
      </c>
      <c r="N969" s="5" t="s">
        <v>31</v>
      </c>
      <c r="O969">
        <f>TBL_Employees[[#This Row],[Bonus %]]*TBL_Employees[[#This Row],[Annual Salary]]</f>
        <v>41030.85</v>
      </c>
      <c r="P969" t="str">
        <f>IF(TBL_Employees[[#This Row],[Age]]&gt;50,"Senior","Junior")</f>
        <v>Junior</v>
      </c>
      <c r="Q969" s="14" t="str">
        <f>IF(OR(D969="IT", J969&gt;100000), "YES", "NO")</f>
        <v>YES</v>
      </c>
      <c r="R969" s="14">
        <f>YEAR(TBL_Employees[[#This Row],[Hire Date]])</f>
        <v>2019</v>
      </c>
    </row>
    <row r="970" spans="1:18" x14ac:dyDescent="0.35">
      <c r="A970" t="s">
        <v>1924</v>
      </c>
      <c r="B970" t="s">
        <v>1925</v>
      </c>
      <c r="C970" t="s">
        <v>331</v>
      </c>
      <c r="D970" t="s">
        <v>17</v>
      </c>
      <c r="E970" t="s">
        <v>36</v>
      </c>
      <c r="F970" t="s">
        <v>27</v>
      </c>
      <c r="G970" t="s">
        <v>86</v>
      </c>
      <c r="H970">
        <v>29</v>
      </c>
      <c r="I970" s="5">
        <v>42509</v>
      </c>
      <c r="J970" s="11">
        <v>52693</v>
      </c>
      <c r="K970" s="6">
        <v>0</v>
      </c>
      <c r="L970" t="s">
        <v>94</v>
      </c>
      <c r="M970" t="s">
        <v>100</v>
      </c>
      <c r="N970" s="5" t="s">
        <v>31</v>
      </c>
      <c r="O970">
        <f>TBL_Employees[[#This Row],[Bonus %]]*TBL_Employees[[#This Row],[Annual Salary]]</f>
        <v>0</v>
      </c>
      <c r="P970" t="str">
        <f>IF(TBL_Employees[[#This Row],[Age]]&gt;50,"Senior","Junior")</f>
        <v>Junior</v>
      </c>
      <c r="Q970" s="14" t="str">
        <f>IF(OR(D970="IT", J970&gt;100000), "YES", "NO")</f>
        <v>YES</v>
      </c>
      <c r="R970" s="14">
        <f>YEAR(TBL_Employees[[#This Row],[Hire Date]])</f>
        <v>2016</v>
      </c>
    </row>
    <row r="971" spans="1:18" x14ac:dyDescent="0.35">
      <c r="A971" t="s">
        <v>1926</v>
      </c>
      <c r="B971" t="s">
        <v>1927</v>
      </c>
      <c r="C971" t="s">
        <v>486</v>
      </c>
      <c r="D971" t="s">
        <v>17</v>
      </c>
      <c r="E971" t="s">
        <v>18</v>
      </c>
      <c r="F971" t="s">
        <v>19</v>
      </c>
      <c r="G971" t="s">
        <v>37</v>
      </c>
      <c r="H971">
        <v>58</v>
      </c>
      <c r="I971" s="5">
        <v>42486</v>
      </c>
      <c r="J971" s="11">
        <v>72045</v>
      </c>
      <c r="K971" s="6">
        <v>0</v>
      </c>
      <c r="L971" t="s">
        <v>21</v>
      </c>
      <c r="M971" t="s">
        <v>45</v>
      </c>
      <c r="N971" s="5" t="s">
        <v>31</v>
      </c>
      <c r="O971">
        <f>TBL_Employees[[#This Row],[Bonus %]]*TBL_Employees[[#This Row],[Annual Salary]]</f>
        <v>0</v>
      </c>
      <c r="P971" t="str">
        <f>IF(TBL_Employees[[#This Row],[Age]]&gt;50,"Senior","Junior")</f>
        <v>Senior</v>
      </c>
      <c r="Q971" s="14" t="str">
        <f>IF(OR(D971="IT", J971&gt;100000), "YES", "NO")</f>
        <v>YES</v>
      </c>
      <c r="R971" s="14">
        <f>YEAR(TBL_Employees[[#This Row],[Hire Date]])</f>
        <v>2016</v>
      </c>
    </row>
    <row r="972" spans="1:18" x14ac:dyDescent="0.35">
      <c r="A972" t="s">
        <v>1928</v>
      </c>
      <c r="B972" t="s">
        <v>1929</v>
      </c>
      <c r="C972" t="s">
        <v>125</v>
      </c>
      <c r="D972" t="s">
        <v>81</v>
      </c>
      <c r="E972" t="s">
        <v>26</v>
      </c>
      <c r="F972" t="s">
        <v>27</v>
      </c>
      <c r="G972" t="s">
        <v>86</v>
      </c>
      <c r="H972">
        <v>47</v>
      </c>
      <c r="I972" s="5">
        <v>38684</v>
      </c>
      <c r="J972" s="11">
        <v>62749</v>
      </c>
      <c r="K972" s="6">
        <v>0</v>
      </c>
      <c r="L972" t="s">
        <v>94</v>
      </c>
      <c r="M972" t="s">
        <v>95</v>
      </c>
      <c r="N972" s="5" t="s">
        <v>31</v>
      </c>
      <c r="O972">
        <f>TBL_Employees[[#This Row],[Bonus %]]*TBL_Employees[[#This Row],[Annual Salary]]</f>
        <v>0</v>
      </c>
      <c r="P972" t="str">
        <f>IF(TBL_Employees[[#This Row],[Age]]&gt;50,"Senior","Junior")</f>
        <v>Junior</v>
      </c>
      <c r="Q972" s="14" t="str">
        <f>IF(OR(D972="IT", J972&gt;100000), "YES", "NO")</f>
        <v>NO</v>
      </c>
      <c r="R972" s="14">
        <f>YEAR(TBL_Employees[[#This Row],[Hire Date]])</f>
        <v>2005</v>
      </c>
    </row>
    <row r="973" spans="1:18" x14ac:dyDescent="0.35">
      <c r="A973" t="s">
        <v>1930</v>
      </c>
      <c r="B973" t="s">
        <v>1931</v>
      </c>
      <c r="C973" t="s">
        <v>16</v>
      </c>
      <c r="D973" t="s">
        <v>81</v>
      </c>
      <c r="E973" t="s">
        <v>36</v>
      </c>
      <c r="F973" t="s">
        <v>27</v>
      </c>
      <c r="G973" t="s">
        <v>28</v>
      </c>
      <c r="H973">
        <v>52</v>
      </c>
      <c r="I973" s="5">
        <v>43255</v>
      </c>
      <c r="J973" s="11">
        <v>154884</v>
      </c>
      <c r="K973" s="6">
        <v>0.1</v>
      </c>
      <c r="L973" t="s">
        <v>29</v>
      </c>
      <c r="M973" t="s">
        <v>75</v>
      </c>
      <c r="N973" s="5" t="s">
        <v>31</v>
      </c>
      <c r="O973">
        <f>TBL_Employees[[#This Row],[Bonus %]]*TBL_Employees[[#This Row],[Annual Salary]]</f>
        <v>15488.400000000001</v>
      </c>
      <c r="P973" t="str">
        <f>IF(TBL_Employees[[#This Row],[Age]]&gt;50,"Senior","Junior")</f>
        <v>Senior</v>
      </c>
      <c r="Q973" s="14" t="str">
        <f>IF(OR(D973="IT", J973&gt;100000), "YES", "NO")</f>
        <v>YES</v>
      </c>
      <c r="R973" s="14">
        <f>YEAR(TBL_Employees[[#This Row],[Hire Date]])</f>
        <v>2018</v>
      </c>
    </row>
    <row r="974" spans="1:18" x14ac:dyDescent="0.35">
      <c r="A974" t="s">
        <v>1932</v>
      </c>
      <c r="B974" t="s">
        <v>1933</v>
      </c>
      <c r="C974" t="s">
        <v>249</v>
      </c>
      <c r="D974" t="s">
        <v>17</v>
      </c>
      <c r="E974" t="s">
        <v>18</v>
      </c>
      <c r="F974" t="s">
        <v>27</v>
      </c>
      <c r="G974" t="s">
        <v>37</v>
      </c>
      <c r="H974">
        <v>61</v>
      </c>
      <c r="I974" s="5">
        <v>42437</v>
      </c>
      <c r="J974" s="11">
        <v>96566</v>
      </c>
      <c r="K974" s="6">
        <v>0</v>
      </c>
      <c r="L974" t="s">
        <v>21</v>
      </c>
      <c r="M974" t="s">
        <v>89</v>
      </c>
      <c r="N974" s="5" t="s">
        <v>31</v>
      </c>
      <c r="O974">
        <f>TBL_Employees[[#This Row],[Bonus %]]*TBL_Employees[[#This Row],[Annual Salary]]</f>
        <v>0</v>
      </c>
      <c r="P974" t="str">
        <f>IF(TBL_Employees[[#This Row],[Age]]&gt;50,"Senior","Junior")</f>
        <v>Senior</v>
      </c>
      <c r="Q974" s="14" t="str">
        <f>IF(OR(D974="IT", J974&gt;100000), "YES", "NO")</f>
        <v>YES</v>
      </c>
      <c r="R974" s="14">
        <f>YEAR(TBL_Employees[[#This Row],[Hire Date]])</f>
        <v>2016</v>
      </c>
    </row>
    <row r="975" spans="1:18" x14ac:dyDescent="0.35">
      <c r="A975" t="s">
        <v>1934</v>
      </c>
      <c r="B975" t="s">
        <v>1935</v>
      </c>
      <c r="C975" t="s">
        <v>331</v>
      </c>
      <c r="D975" t="s">
        <v>17</v>
      </c>
      <c r="E975" t="s">
        <v>18</v>
      </c>
      <c r="F975" t="s">
        <v>27</v>
      </c>
      <c r="G975" t="s">
        <v>86</v>
      </c>
      <c r="H975">
        <v>45</v>
      </c>
      <c r="I975" s="5">
        <v>37126</v>
      </c>
      <c r="J975" s="11">
        <v>54994</v>
      </c>
      <c r="K975" s="6">
        <v>0</v>
      </c>
      <c r="L975" t="s">
        <v>21</v>
      </c>
      <c r="M975" t="s">
        <v>89</v>
      </c>
      <c r="N975" s="5" t="s">
        <v>31</v>
      </c>
      <c r="O975">
        <f>TBL_Employees[[#This Row],[Bonus %]]*TBL_Employees[[#This Row],[Annual Salary]]</f>
        <v>0</v>
      </c>
      <c r="P975" t="str">
        <f>IF(TBL_Employees[[#This Row],[Age]]&gt;50,"Senior","Junior")</f>
        <v>Junior</v>
      </c>
      <c r="Q975" s="14" t="str">
        <f>IF(OR(D975="IT", J975&gt;100000), "YES", "NO")</f>
        <v>YES</v>
      </c>
      <c r="R975" s="14">
        <f>YEAR(TBL_Employees[[#This Row],[Hire Date]])</f>
        <v>2001</v>
      </c>
    </row>
    <row r="976" spans="1:18" x14ac:dyDescent="0.35">
      <c r="A976" t="s">
        <v>1936</v>
      </c>
      <c r="B976" t="s">
        <v>1937</v>
      </c>
      <c r="C976" t="s">
        <v>486</v>
      </c>
      <c r="D976" t="s">
        <v>17</v>
      </c>
      <c r="E976" t="s">
        <v>50</v>
      </c>
      <c r="F976" t="s">
        <v>19</v>
      </c>
      <c r="G976" t="s">
        <v>37</v>
      </c>
      <c r="H976">
        <v>40</v>
      </c>
      <c r="I976" s="5">
        <v>40944</v>
      </c>
      <c r="J976" s="11">
        <v>61523</v>
      </c>
      <c r="K976" s="6">
        <v>0</v>
      </c>
      <c r="L976" t="s">
        <v>21</v>
      </c>
      <c r="M976" t="s">
        <v>89</v>
      </c>
      <c r="N976" s="5" t="s">
        <v>31</v>
      </c>
      <c r="O976">
        <f>TBL_Employees[[#This Row],[Bonus %]]*TBL_Employees[[#This Row],[Annual Salary]]</f>
        <v>0</v>
      </c>
      <c r="P976" t="str">
        <f>IF(TBL_Employees[[#This Row],[Age]]&gt;50,"Senior","Junior")</f>
        <v>Junior</v>
      </c>
      <c r="Q976" s="14" t="str">
        <f>IF(OR(D976="IT", J976&gt;100000), "YES", "NO")</f>
        <v>YES</v>
      </c>
      <c r="R976" s="14">
        <f>YEAR(TBL_Employees[[#This Row],[Hire Date]])</f>
        <v>2012</v>
      </c>
    </row>
    <row r="977" spans="1:18" x14ac:dyDescent="0.35">
      <c r="A977" t="s">
        <v>1938</v>
      </c>
      <c r="B977" t="s">
        <v>1939</v>
      </c>
      <c r="C977" t="s">
        <v>80</v>
      </c>
      <c r="D977" t="s">
        <v>66</v>
      </c>
      <c r="E977" t="s">
        <v>50</v>
      </c>
      <c r="F977" t="s">
        <v>27</v>
      </c>
      <c r="G977" t="s">
        <v>20</v>
      </c>
      <c r="H977">
        <v>45</v>
      </c>
      <c r="I977" s="5">
        <v>40524</v>
      </c>
      <c r="J977" s="11">
        <v>190512</v>
      </c>
      <c r="K977" s="6">
        <v>0.32</v>
      </c>
      <c r="L977" t="s">
        <v>21</v>
      </c>
      <c r="M977" t="s">
        <v>89</v>
      </c>
      <c r="N977" s="5" t="s">
        <v>31</v>
      </c>
      <c r="O977">
        <f>TBL_Employees[[#This Row],[Bonus %]]*TBL_Employees[[#This Row],[Annual Salary]]</f>
        <v>60963.840000000004</v>
      </c>
      <c r="P977" t="str">
        <f>IF(TBL_Employees[[#This Row],[Age]]&gt;50,"Senior","Junior")</f>
        <v>Junior</v>
      </c>
      <c r="Q977" s="14" t="str">
        <f>IF(OR(D977="IT", J977&gt;100000), "YES", "NO")</f>
        <v>YES</v>
      </c>
      <c r="R977" s="14">
        <f>YEAR(TBL_Employees[[#This Row],[Hire Date]])</f>
        <v>2010</v>
      </c>
    </row>
    <row r="978" spans="1:18" x14ac:dyDescent="0.35">
      <c r="A978" t="s">
        <v>1940</v>
      </c>
      <c r="B978" t="s">
        <v>1941</v>
      </c>
      <c r="C978" t="s">
        <v>69</v>
      </c>
      <c r="D978" t="s">
        <v>70</v>
      </c>
      <c r="E978" t="s">
        <v>36</v>
      </c>
      <c r="F978" t="s">
        <v>19</v>
      </c>
      <c r="G978" t="s">
        <v>28</v>
      </c>
      <c r="H978">
        <v>37</v>
      </c>
      <c r="I978" s="5">
        <v>41318</v>
      </c>
      <c r="J978" s="11">
        <v>124827</v>
      </c>
      <c r="K978" s="6">
        <v>0</v>
      </c>
      <c r="L978" t="s">
        <v>29</v>
      </c>
      <c r="M978" t="s">
        <v>115</v>
      </c>
      <c r="N978" s="5" t="s">
        <v>31</v>
      </c>
      <c r="O978">
        <f>TBL_Employees[[#This Row],[Bonus %]]*TBL_Employees[[#This Row],[Annual Salary]]</f>
        <v>0</v>
      </c>
      <c r="P978" t="str">
        <f>IF(TBL_Employees[[#This Row],[Age]]&gt;50,"Senior","Junior")</f>
        <v>Junior</v>
      </c>
      <c r="Q978" s="14" t="str">
        <f>IF(OR(D978="IT", J978&gt;100000), "YES", "NO")</f>
        <v>YES</v>
      </c>
      <c r="R978" s="14">
        <f>YEAR(TBL_Employees[[#This Row],[Hire Date]])</f>
        <v>2013</v>
      </c>
    </row>
    <row r="979" spans="1:18" x14ac:dyDescent="0.35">
      <c r="A979" t="s">
        <v>809</v>
      </c>
      <c r="B979" t="s">
        <v>1942</v>
      </c>
      <c r="C979" t="s">
        <v>53</v>
      </c>
      <c r="D979" t="s">
        <v>60</v>
      </c>
      <c r="E979" t="s">
        <v>26</v>
      </c>
      <c r="F979" t="s">
        <v>27</v>
      </c>
      <c r="G979" t="s">
        <v>37</v>
      </c>
      <c r="H979">
        <v>57</v>
      </c>
      <c r="I979" s="5">
        <v>43484</v>
      </c>
      <c r="J979" s="11">
        <v>101577</v>
      </c>
      <c r="K979" s="6">
        <v>0.05</v>
      </c>
      <c r="L979" t="s">
        <v>21</v>
      </c>
      <c r="M979" t="s">
        <v>38</v>
      </c>
      <c r="N979" s="5" t="s">
        <v>31</v>
      </c>
      <c r="O979">
        <f>TBL_Employees[[#This Row],[Bonus %]]*TBL_Employees[[#This Row],[Annual Salary]]</f>
        <v>5078.8500000000004</v>
      </c>
      <c r="P979" t="str">
        <f>IF(TBL_Employees[[#This Row],[Age]]&gt;50,"Senior","Junior")</f>
        <v>Senior</v>
      </c>
      <c r="Q979" s="14" t="str">
        <f>IF(OR(D979="IT", J979&gt;100000), "YES", "NO")</f>
        <v>YES</v>
      </c>
      <c r="R979" s="14">
        <f>YEAR(TBL_Employees[[#This Row],[Hire Date]])</f>
        <v>2019</v>
      </c>
    </row>
    <row r="980" spans="1:18" x14ac:dyDescent="0.35">
      <c r="A980" t="s">
        <v>1943</v>
      </c>
      <c r="B980" t="s">
        <v>1944</v>
      </c>
      <c r="C980" t="s">
        <v>53</v>
      </c>
      <c r="D980" t="s">
        <v>60</v>
      </c>
      <c r="E980" t="s">
        <v>26</v>
      </c>
      <c r="F980" t="s">
        <v>19</v>
      </c>
      <c r="G980" t="s">
        <v>86</v>
      </c>
      <c r="H980">
        <v>44</v>
      </c>
      <c r="I980" s="5">
        <v>38642</v>
      </c>
      <c r="J980" s="11">
        <v>105223</v>
      </c>
      <c r="K980" s="6">
        <v>0.1</v>
      </c>
      <c r="L980" t="s">
        <v>21</v>
      </c>
      <c r="M980" t="s">
        <v>45</v>
      </c>
      <c r="N980" s="5" t="s">
        <v>31</v>
      </c>
      <c r="O980">
        <f>TBL_Employees[[#This Row],[Bonus %]]*TBL_Employees[[#This Row],[Annual Salary]]</f>
        <v>10522.300000000001</v>
      </c>
      <c r="P980" t="str">
        <f>IF(TBL_Employees[[#This Row],[Age]]&gt;50,"Senior","Junior")</f>
        <v>Junior</v>
      </c>
      <c r="Q980" s="14" t="str">
        <f>IF(OR(D980="IT", J980&gt;100000), "YES", "NO")</f>
        <v>YES</v>
      </c>
      <c r="R980" s="14">
        <f>YEAR(TBL_Employees[[#This Row],[Hire Date]])</f>
        <v>2005</v>
      </c>
    </row>
    <row r="981" spans="1:18" x14ac:dyDescent="0.35">
      <c r="A981" t="s">
        <v>1615</v>
      </c>
      <c r="B981" t="s">
        <v>1945</v>
      </c>
      <c r="C981" t="s">
        <v>443</v>
      </c>
      <c r="D981" t="s">
        <v>17</v>
      </c>
      <c r="E981" t="s">
        <v>50</v>
      </c>
      <c r="F981" t="s">
        <v>27</v>
      </c>
      <c r="G981" t="s">
        <v>86</v>
      </c>
      <c r="H981">
        <v>48</v>
      </c>
      <c r="I981" s="5">
        <v>39635</v>
      </c>
      <c r="J981" s="11">
        <v>94815</v>
      </c>
      <c r="K981" s="6">
        <v>0</v>
      </c>
      <c r="L981" t="s">
        <v>21</v>
      </c>
      <c r="M981" t="s">
        <v>38</v>
      </c>
      <c r="N981" s="5" t="s">
        <v>31</v>
      </c>
      <c r="O981">
        <f>TBL_Employees[[#This Row],[Bonus %]]*TBL_Employees[[#This Row],[Annual Salary]]</f>
        <v>0</v>
      </c>
      <c r="P981" t="str">
        <f>IF(TBL_Employees[[#This Row],[Age]]&gt;50,"Senior","Junior")</f>
        <v>Junior</v>
      </c>
      <c r="Q981" s="14" t="str">
        <f>IF(OR(D981="IT", J981&gt;100000), "YES", "NO")</f>
        <v>YES</v>
      </c>
      <c r="R981" s="14">
        <f>YEAR(TBL_Employees[[#This Row],[Hire Date]])</f>
        <v>2008</v>
      </c>
    </row>
    <row r="982" spans="1:18" x14ac:dyDescent="0.35">
      <c r="A982" t="s">
        <v>1946</v>
      </c>
      <c r="B982" t="s">
        <v>1947</v>
      </c>
      <c r="C982" t="s">
        <v>53</v>
      </c>
      <c r="D982" t="s">
        <v>60</v>
      </c>
      <c r="E982" t="s">
        <v>36</v>
      </c>
      <c r="F982" t="s">
        <v>19</v>
      </c>
      <c r="G982" t="s">
        <v>28</v>
      </c>
      <c r="H982">
        <v>25</v>
      </c>
      <c r="I982" s="5">
        <v>44545</v>
      </c>
      <c r="J982" s="11">
        <v>114893</v>
      </c>
      <c r="K982" s="6">
        <v>0.06</v>
      </c>
      <c r="L982" t="s">
        <v>29</v>
      </c>
      <c r="M982" t="s">
        <v>135</v>
      </c>
      <c r="N982" s="5" t="s">
        <v>31</v>
      </c>
      <c r="O982">
        <f>TBL_Employees[[#This Row],[Bonus %]]*TBL_Employees[[#This Row],[Annual Salary]]</f>
        <v>6893.58</v>
      </c>
      <c r="P982" t="str">
        <f>IF(TBL_Employees[[#This Row],[Age]]&gt;50,"Senior","Junior")</f>
        <v>Junior</v>
      </c>
      <c r="Q982" s="14" t="str">
        <f>IF(OR(D982="IT", J982&gt;100000), "YES", "NO")</f>
        <v>YES</v>
      </c>
      <c r="R982" s="14">
        <f>YEAR(TBL_Employees[[#This Row],[Hire Date]])</f>
        <v>2021</v>
      </c>
    </row>
    <row r="983" spans="1:18" x14ac:dyDescent="0.35">
      <c r="A983" t="s">
        <v>1948</v>
      </c>
      <c r="B983" t="s">
        <v>1949</v>
      </c>
      <c r="C983" t="s">
        <v>44</v>
      </c>
      <c r="D983" t="s">
        <v>81</v>
      </c>
      <c r="E983" t="s">
        <v>36</v>
      </c>
      <c r="F983" t="s">
        <v>19</v>
      </c>
      <c r="G983" t="s">
        <v>86</v>
      </c>
      <c r="H983">
        <v>35</v>
      </c>
      <c r="I983" s="5">
        <v>42745</v>
      </c>
      <c r="J983" s="11">
        <v>80622</v>
      </c>
      <c r="K983" s="6">
        <v>0</v>
      </c>
      <c r="L983" t="s">
        <v>21</v>
      </c>
      <c r="M983" t="s">
        <v>61</v>
      </c>
      <c r="N983" s="5" t="s">
        <v>31</v>
      </c>
      <c r="O983">
        <f>TBL_Employees[[#This Row],[Bonus %]]*TBL_Employees[[#This Row],[Annual Salary]]</f>
        <v>0</v>
      </c>
      <c r="P983" t="str">
        <f>IF(TBL_Employees[[#This Row],[Age]]&gt;50,"Senior","Junior")</f>
        <v>Junior</v>
      </c>
      <c r="Q983" s="14" t="str">
        <f>IF(OR(D983="IT", J983&gt;100000), "YES", "NO")</f>
        <v>NO</v>
      </c>
      <c r="R983" s="14">
        <f>YEAR(TBL_Employees[[#This Row],[Hire Date]])</f>
        <v>2017</v>
      </c>
    </row>
    <row r="984" spans="1:18" x14ac:dyDescent="0.35">
      <c r="A984" t="s">
        <v>128</v>
      </c>
      <c r="B984" t="s">
        <v>1950</v>
      </c>
      <c r="C984" t="s">
        <v>80</v>
      </c>
      <c r="D984" t="s">
        <v>17</v>
      </c>
      <c r="E984" t="s">
        <v>36</v>
      </c>
      <c r="F984" t="s">
        <v>19</v>
      </c>
      <c r="G984" t="s">
        <v>28</v>
      </c>
      <c r="H984">
        <v>57</v>
      </c>
      <c r="I984" s="5">
        <v>42685</v>
      </c>
      <c r="J984" s="11">
        <v>246589</v>
      </c>
      <c r="K984" s="6">
        <v>0.33</v>
      </c>
      <c r="L984" t="s">
        <v>21</v>
      </c>
      <c r="M984" t="s">
        <v>45</v>
      </c>
      <c r="N984" s="5">
        <v>42820</v>
      </c>
      <c r="O984">
        <f>TBL_Employees[[#This Row],[Bonus %]]*TBL_Employees[[#This Row],[Annual Salary]]</f>
        <v>81374.37000000001</v>
      </c>
      <c r="P984" t="str">
        <f>IF(TBL_Employees[[#This Row],[Age]]&gt;50,"Senior","Junior")</f>
        <v>Senior</v>
      </c>
      <c r="Q984" s="14" t="str">
        <f>IF(OR(D984="IT", J984&gt;100000), "YES", "NO")</f>
        <v>YES</v>
      </c>
      <c r="R984" s="14">
        <f>YEAR(TBL_Employees[[#This Row],[Hire Date]])</f>
        <v>2016</v>
      </c>
    </row>
    <row r="985" spans="1:18" x14ac:dyDescent="0.35">
      <c r="A985" t="s">
        <v>1951</v>
      </c>
      <c r="B985" t="s">
        <v>1952</v>
      </c>
      <c r="C985" t="s">
        <v>53</v>
      </c>
      <c r="D985" t="s">
        <v>81</v>
      </c>
      <c r="E985" t="s">
        <v>36</v>
      </c>
      <c r="F985" t="s">
        <v>27</v>
      </c>
      <c r="G985" t="s">
        <v>28</v>
      </c>
      <c r="H985">
        <v>49</v>
      </c>
      <c r="I985" s="5">
        <v>43240</v>
      </c>
      <c r="J985" s="11">
        <v>119397</v>
      </c>
      <c r="K985" s="6">
        <v>0.09</v>
      </c>
      <c r="L985" t="s">
        <v>29</v>
      </c>
      <c r="M985" t="s">
        <v>115</v>
      </c>
      <c r="N985" s="5">
        <v>43538</v>
      </c>
      <c r="O985">
        <f>TBL_Employees[[#This Row],[Bonus %]]*TBL_Employees[[#This Row],[Annual Salary]]</f>
        <v>10745.73</v>
      </c>
      <c r="P985" t="str">
        <f>IF(TBL_Employees[[#This Row],[Age]]&gt;50,"Senior","Junior")</f>
        <v>Junior</v>
      </c>
      <c r="Q985" s="14" t="str">
        <f>IF(OR(D985="IT", J985&gt;100000), "YES", "NO")</f>
        <v>YES</v>
      </c>
      <c r="R985" s="14">
        <f>YEAR(TBL_Employees[[#This Row],[Hire Date]])</f>
        <v>2018</v>
      </c>
    </row>
    <row r="986" spans="1:18" x14ac:dyDescent="0.35">
      <c r="A986" t="s">
        <v>1953</v>
      </c>
      <c r="B986" t="s">
        <v>1954</v>
      </c>
      <c r="C986" t="s">
        <v>34</v>
      </c>
      <c r="D986" t="s">
        <v>49</v>
      </c>
      <c r="E986" t="s">
        <v>50</v>
      </c>
      <c r="F986" t="s">
        <v>19</v>
      </c>
      <c r="G986" t="s">
        <v>28</v>
      </c>
      <c r="H986">
        <v>25</v>
      </c>
      <c r="I986" s="5">
        <v>44549</v>
      </c>
      <c r="J986" s="11">
        <v>150666</v>
      </c>
      <c r="K986" s="6">
        <v>0.23</v>
      </c>
      <c r="L986" t="s">
        <v>29</v>
      </c>
      <c r="M986" t="s">
        <v>135</v>
      </c>
      <c r="N986" s="5" t="s">
        <v>31</v>
      </c>
      <c r="O986">
        <f>TBL_Employees[[#This Row],[Bonus %]]*TBL_Employees[[#This Row],[Annual Salary]]</f>
        <v>34653.18</v>
      </c>
      <c r="P986" t="str">
        <f>IF(TBL_Employees[[#This Row],[Age]]&gt;50,"Senior","Junior")</f>
        <v>Junior</v>
      </c>
      <c r="Q986" s="14" t="str">
        <f>IF(OR(D986="IT", J986&gt;100000), "YES", "NO")</f>
        <v>YES</v>
      </c>
      <c r="R986" s="14">
        <f>YEAR(TBL_Employees[[#This Row],[Hire Date]])</f>
        <v>2021</v>
      </c>
    </row>
    <row r="987" spans="1:18" x14ac:dyDescent="0.35">
      <c r="A987" t="s">
        <v>1955</v>
      </c>
      <c r="B987" t="s">
        <v>1956</v>
      </c>
      <c r="C987" t="s">
        <v>16</v>
      </c>
      <c r="D987" t="s">
        <v>17</v>
      </c>
      <c r="E987" t="s">
        <v>18</v>
      </c>
      <c r="F987" t="s">
        <v>19</v>
      </c>
      <c r="G987" t="s">
        <v>37</v>
      </c>
      <c r="H987">
        <v>46</v>
      </c>
      <c r="I987" s="5">
        <v>37265</v>
      </c>
      <c r="J987" s="11">
        <v>148035</v>
      </c>
      <c r="K987" s="6">
        <v>0.14000000000000001</v>
      </c>
      <c r="L987" t="s">
        <v>21</v>
      </c>
      <c r="M987" t="s">
        <v>45</v>
      </c>
      <c r="N987" s="5" t="s">
        <v>31</v>
      </c>
      <c r="O987">
        <f>TBL_Employees[[#This Row],[Bonus %]]*TBL_Employees[[#This Row],[Annual Salary]]</f>
        <v>20724.900000000001</v>
      </c>
      <c r="P987" t="str">
        <f>IF(TBL_Employees[[#This Row],[Age]]&gt;50,"Senior","Junior")</f>
        <v>Junior</v>
      </c>
      <c r="Q987" s="14" t="str">
        <f>IF(OR(D987="IT", J987&gt;100000), "YES", "NO")</f>
        <v>YES</v>
      </c>
      <c r="R987" s="14">
        <f>YEAR(TBL_Employees[[#This Row],[Hire Date]])</f>
        <v>2002</v>
      </c>
    </row>
    <row r="988" spans="1:18" x14ac:dyDescent="0.35">
      <c r="A988" t="s">
        <v>206</v>
      </c>
      <c r="B988" t="s">
        <v>1957</v>
      </c>
      <c r="C988" t="s">
        <v>34</v>
      </c>
      <c r="D988" t="s">
        <v>35</v>
      </c>
      <c r="E988" t="s">
        <v>50</v>
      </c>
      <c r="F988" t="s">
        <v>27</v>
      </c>
      <c r="G988" t="s">
        <v>28</v>
      </c>
      <c r="H988">
        <v>60</v>
      </c>
      <c r="I988" s="5">
        <v>42891</v>
      </c>
      <c r="J988" s="11">
        <v>158898</v>
      </c>
      <c r="K988" s="6">
        <v>0.18</v>
      </c>
      <c r="L988" t="s">
        <v>21</v>
      </c>
      <c r="M988" t="s">
        <v>57</v>
      </c>
      <c r="N988" s="5" t="s">
        <v>31</v>
      </c>
      <c r="O988">
        <f>TBL_Employees[[#This Row],[Bonus %]]*TBL_Employees[[#This Row],[Annual Salary]]</f>
        <v>28601.64</v>
      </c>
      <c r="P988" t="str">
        <f>IF(TBL_Employees[[#This Row],[Age]]&gt;50,"Senior","Junior")</f>
        <v>Senior</v>
      </c>
      <c r="Q988" s="14" t="str">
        <f>IF(OR(D988="IT", J988&gt;100000), "YES", "NO")</f>
        <v>YES</v>
      </c>
      <c r="R988" s="14">
        <f>YEAR(TBL_Employees[[#This Row],[Hire Date]])</f>
        <v>2017</v>
      </c>
    </row>
    <row r="989" spans="1:18" x14ac:dyDescent="0.35">
      <c r="A989" t="s">
        <v>1958</v>
      </c>
      <c r="B989" t="s">
        <v>1959</v>
      </c>
      <c r="C989" t="s">
        <v>176</v>
      </c>
      <c r="D989" t="s">
        <v>70</v>
      </c>
      <c r="E989" t="s">
        <v>50</v>
      </c>
      <c r="F989" t="s">
        <v>19</v>
      </c>
      <c r="G989" t="s">
        <v>28</v>
      </c>
      <c r="H989">
        <v>45</v>
      </c>
      <c r="I989" s="5">
        <v>40967</v>
      </c>
      <c r="J989" s="11">
        <v>89659</v>
      </c>
      <c r="K989" s="6">
        <v>0</v>
      </c>
      <c r="L989" t="s">
        <v>29</v>
      </c>
      <c r="M989" t="s">
        <v>115</v>
      </c>
      <c r="N989" s="5" t="s">
        <v>31</v>
      </c>
      <c r="O989">
        <f>TBL_Employees[[#This Row],[Bonus %]]*TBL_Employees[[#This Row],[Annual Salary]]</f>
        <v>0</v>
      </c>
      <c r="P989" t="str">
        <f>IF(TBL_Employees[[#This Row],[Age]]&gt;50,"Senior","Junior")</f>
        <v>Junior</v>
      </c>
      <c r="Q989" s="14" t="str">
        <f>IF(OR(D989="IT", J989&gt;100000), "YES", "NO")</f>
        <v>NO</v>
      </c>
      <c r="R989" s="14">
        <f>YEAR(TBL_Employees[[#This Row],[Hire Date]])</f>
        <v>2012</v>
      </c>
    </row>
    <row r="990" spans="1:18" x14ac:dyDescent="0.35">
      <c r="A990" t="s">
        <v>1960</v>
      </c>
      <c r="B990" t="s">
        <v>1961</v>
      </c>
      <c r="C990" t="s">
        <v>34</v>
      </c>
      <c r="D990" t="s">
        <v>49</v>
      </c>
      <c r="E990" t="s">
        <v>36</v>
      </c>
      <c r="F990" t="s">
        <v>19</v>
      </c>
      <c r="G990" t="s">
        <v>37</v>
      </c>
      <c r="H990">
        <v>39</v>
      </c>
      <c r="I990" s="5">
        <v>39201</v>
      </c>
      <c r="J990" s="11">
        <v>171487</v>
      </c>
      <c r="K990" s="6">
        <v>0.23</v>
      </c>
      <c r="L990" t="s">
        <v>21</v>
      </c>
      <c r="M990" t="s">
        <v>45</v>
      </c>
      <c r="N990" s="5" t="s">
        <v>31</v>
      </c>
      <c r="O990">
        <f>TBL_Employees[[#This Row],[Bonus %]]*TBL_Employees[[#This Row],[Annual Salary]]</f>
        <v>39442.01</v>
      </c>
      <c r="P990" t="str">
        <f>IF(TBL_Employees[[#This Row],[Age]]&gt;50,"Senior","Junior")</f>
        <v>Junior</v>
      </c>
      <c r="Q990" s="14" t="str">
        <f>IF(OR(D990="IT", J990&gt;100000), "YES", "NO")</f>
        <v>YES</v>
      </c>
      <c r="R990" s="14">
        <f>YEAR(TBL_Employees[[#This Row],[Hire Date]])</f>
        <v>2007</v>
      </c>
    </row>
    <row r="991" spans="1:18" x14ac:dyDescent="0.35">
      <c r="A991" t="s">
        <v>1962</v>
      </c>
      <c r="B991" t="s">
        <v>1963</v>
      </c>
      <c r="C991" t="s">
        <v>80</v>
      </c>
      <c r="D991" t="s">
        <v>49</v>
      </c>
      <c r="E991" t="s">
        <v>26</v>
      </c>
      <c r="F991" t="s">
        <v>19</v>
      </c>
      <c r="G991" t="s">
        <v>86</v>
      </c>
      <c r="H991">
        <v>43</v>
      </c>
      <c r="I991" s="5">
        <v>42603</v>
      </c>
      <c r="J991" s="11">
        <v>258498</v>
      </c>
      <c r="K991" s="6">
        <v>0.35</v>
      </c>
      <c r="L991" t="s">
        <v>21</v>
      </c>
      <c r="M991" t="s">
        <v>89</v>
      </c>
      <c r="N991" s="5" t="s">
        <v>31</v>
      </c>
      <c r="O991">
        <f>TBL_Employees[[#This Row],[Bonus %]]*TBL_Employees[[#This Row],[Annual Salary]]</f>
        <v>90474.299999999988</v>
      </c>
      <c r="P991" t="str">
        <f>IF(TBL_Employees[[#This Row],[Age]]&gt;50,"Senior","Junior")</f>
        <v>Junior</v>
      </c>
      <c r="Q991" s="14" t="str">
        <f>IF(OR(D991="IT", J991&gt;100000), "YES", "NO")</f>
        <v>YES</v>
      </c>
      <c r="R991" s="14">
        <f>YEAR(TBL_Employees[[#This Row],[Hire Date]])</f>
        <v>2016</v>
      </c>
    </row>
    <row r="992" spans="1:18" x14ac:dyDescent="0.35">
      <c r="A992" t="s">
        <v>1964</v>
      </c>
      <c r="B992" t="s">
        <v>1965</v>
      </c>
      <c r="C992" t="s">
        <v>16</v>
      </c>
      <c r="D992" t="s">
        <v>17</v>
      </c>
      <c r="E992" t="s">
        <v>18</v>
      </c>
      <c r="F992" t="s">
        <v>27</v>
      </c>
      <c r="G992" t="s">
        <v>28</v>
      </c>
      <c r="H992">
        <v>37</v>
      </c>
      <c r="I992" s="5">
        <v>40511</v>
      </c>
      <c r="J992" s="11">
        <v>146961</v>
      </c>
      <c r="K992" s="6">
        <v>0.11</v>
      </c>
      <c r="L992" t="s">
        <v>21</v>
      </c>
      <c r="M992" t="s">
        <v>89</v>
      </c>
      <c r="N992" s="5" t="s">
        <v>31</v>
      </c>
      <c r="O992">
        <f>TBL_Employees[[#This Row],[Bonus %]]*TBL_Employees[[#This Row],[Annual Salary]]</f>
        <v>16165.710000000001</v>
      </c>
      <c r="P992" t="str">
        <f>IF(TBL_Employees[[#This Row],[Age]]&gt;50,"Senior","Junior")</f>
        <v>Junior</v>
      </c>
      <c r="Q992" s="14" t="str">
        <f>IF(OR(D992="IT", J992&gt;100000), "YES", "NO")</f>
        <v>YES</v>
      </c>
      <c r="R992" s="14">
        <f>YEAR(TBL_Employees[[#This Row],[Hire Date]])</f>
        <v>2010</v>
      </c>
    </row>
    <row r="993" spans="1:18" x14ac:dyDescent="0.35">
      <c r="A993" t="s">
        <v>1966</v>
      </c>
      <c r="B993" t="s">
        <v>1967</v>
      </c>
      <c r="C993" t="s">
        <v>144</v>
      </c>
      <c r="D993" t="s">
        <v>66</v>
      </c>
      <c r="E993" t="s">
        <v>18</v>
      </c>
      <c r="F993" t="s">
        <v>27</v>
      </c>
      <c r="G993" t="s">
        <v>86</v>
      </c>
      <c r="H993">
        <v>48</v>
      </c>
      <c r="I993" s="5">
        <v>35907</v>
      </c>
      <c r="J993" s="11">
        <v>85369</v>
      </c>
      <c r="K993" s="6">
        <v>0</v>
      </c>
      <c r="L993" t="s">
        <v>94</v>
      </c>
      <c r="M993" t="s">
        <v>95</v>
      </c>
      <c r="N993" s="5">
        <v>38318</v>
      </c>
      <c r="O993">
        <f>TBL_Employees[[#This Row],[Bonus %]]*TBL_Employees[[#This Row],[Annual Salary]]</f>
        <v>0</v>
      </c>
      <c r="P993" t="str">
        <f>IF(TBL_Employees[[#This Row],[Age]]&gt;50,"Senior","Junior")</f>
        <v>Junior</v>
      </c>
      <c r="Q993" s="14" t="str">
        <f>IF(OR(D993="IT", J993&gt;100000), "YES", "NO")</f>
        <v>NO</v>
      </c>
      <c r="R993" s="14">
        <f>YEAR(TBL_Employees[[#This Row],[Hire Date]])</f>
        <v>1998</v>
      </c>
    </row>
    <row r="994" spans="1:18" x14ac:dyDescent="0.35">
      <c r="A994" t="s">
        <v>951</v>
      </c>
      <c r="B994" t="s">
        <v>1968</v>
      </c>
      <c r="C994" t="s">
        <v>25</v>
      </c>
      <c r="D994" t="s">
        <v>17</v>
      </c>
      <c r="E994" t="s">
        <v>26</v>
      </c>
      <c r="F994" t="s">
        <v>27</v>
      </c>
      <c r="G994" t="s">
        <v>37</v>
      </c>
      <c r="H994">
        <v>30</v>
      </c>
      <c r="I994" s="5">
        <v>42169</v>
      </c>
      <c r="J994" s="11">
        <v>67489</v>
      </c>
      <c r="K994" s="6">
        <v>0</v>
      </c>
      <c r="L994" t="s">
        <v>21</v>
      </c>
      <c r="M994" t="s">
        <v>38</v>
      </c>
      <c r="N994" s="5" t="s">
        <v>31</v>
      </c>
      <c r="O994">
        <f>TBL_Employees[[#This Row],[Bonus %]]*TBL_Employees[[#This Row],[Annual Salary]]</f>
        <v>0</v>
      </c>
      <c r="P994" t="str">
        <f>IF(TBL_Employees[[#This Row],[Age]]&gt;50,"Senior","Junior")</f>
        <v>Junior</v>
      </c>
      <c r="Q994" s="14" t="str">
        <f>IF(OR(D994="IT", J994&gt;100000), "YES", "NO")</f>
        <v>YES</v>
      </c>
      <c r="R994" s="14">
        <f>YEAR(TBL_Employees[[#This Row],[Hire Date]])</f>
        <v>2015</v>
      </c>
    </row>
    <row r="995" spans="1:18" x14ac:dyDescent="0.35">
      <c r="A995" t="s">
        <v>1969</v>
      </c>
      <c r="B995" t="s">
        <v>1970</v>
      </c>
      <c r="C995" t="s">
        <v>34</v>
      </c>
      <c r="D995" t="s">
        <v>17</v>
      </c>
      <c r="E995" t="s">
        <v>26</v>
      </c>
      <c r="F995" t="s">
        <v>19</v>
      </c>
      <c r="G995" t="s">
        <v>37</v>
      </c>
      <c r="H995">
        <v>46</v>
      </c>
      <c r="I995" s="5">
        <v>43379</v>
      </c>
      <c r="J995" s="11">
        <v>166259</v>
      </c>
      <c r="K995" s="6">
        <v>0.17</v>
      </c>
      <c r="L995" t="s">
        <v>21</v>
      </c>
      <c r="M995" t="s">
        <v>38</v>
      </c>
      <c r="N995" s="5" t="s">
        <v>31</v>
      </c>
      <c r="O995">
        <f>TBL_Employees[[#This Row],[Bonus %]]*TBL_Employees[[#This Row],[Annual Salary]]</f>
        <v>28264.030000000002</v>
      </c>
      <c r="P995" t="str">
        <f>IF(TBL_Employees[[#This Row],[Age]]&gt;50,"Senior","Junior")</f>
        <v>Junior</v>
      </c>
      <c r="Q995" s="14" t="str">
        <f>IF(OR(D995="IT", J995&gt;100000), "YES", "NO")</f>
        <v>YES</v>
      </c>
      <c r="R995" s="14">
        <f>YEAR(TBL_Employees[[#This Row],[Hire Date]])</f>
        <v>2018</v>
      </c>
    </row>
    <row r="996" spans="1:18" x14ac:dyDescent="0.35">
      <c r="A996" t="s">
        <v>1971</v>
      </c>
      <c r="B996" t="s">
        <v>1972</v>
      </c>
      <c r="C996" t="s">
        <v>331</v>
      </c>
      <c r="D996" t="s">
        <v>17</v>
      </c>
      <c r="E996" t="s">
        <v>50</v>
      </c>
      <c r="F996" t="s">
        <v>19</v>
      </c>
      <c r="G996" t="s">
        <v>28</v>
      </c>
      <c r="H996">
        <v>55</v>
      </c>
      <c r="I996" s="5">
        <v>39820</v>
      </c>
      <c r="J996" s="11">
        <v>47032</v>
      </c>
      <c r="K996" s="6">
        <v>0</v>
      </c>
      <c r="L996" t="s">
        <v>21</v>
      </c>
      <c r="M996" t="s">
        <v>89</v>
      </c>
      <c r="N996" s="5" t="s">
        <v>31</v>
      </c>
      <c r="O996">
        <f>TBL_Employees[[#This Row],[Bonus %]]*TBL_Employees[[#This Row],[Annual Salary]]</f>
        <v>0</v>
      </c>
      <c r="P996" t="str">
        <f>IF(TBL_Employees[[#This Row],[Age]]&gt;50,"Senior","Junior")</f>
        <v>Senior</v>
      </c>
      <c r="Q996" s="14" t="str">
        <f>IF(OR(D996="IT", J996&gt;100000), "YES", "NO")</f>
        <v>YES</v>
      </c>
      <c r="R996" s="14">
        <f>YEAR(TBL_Employees[[#This Row],[Hire Date]])</f>
        <v>2009</v>
      </c>
    </row>
    <row r="997" spans="1:18" x14ac:dyDescent="0.35">
      <c r="A997" t="s">
        <v>1973</v>
      </c>
      <c r="B997" t="s">
        <v>1974</v>
      </c>
      <c r="C997" t="s">
        <v>44</v>
      </c>
      <c r="D997" t="s">
        <v>81</v>
      </c>
      <c r="E997" t="s">
        <v>36</v>
      </c>
      <c r="F997" t="s">
        <v>27</v>
      </c>
      <c r="G997" t="s">
        <v>37</v>
      </c>
      <c r="H997">
        <v>33</v>
      </c>
      <c r="I997" s="5">
        <v>42631</v>
      </c>
      <c r="J997" s="11">
        <v>98427</v>
      </c>
      <c r="K997" s="6">
        <v>0</v>
      </c>
      <c r="L997" t="s">
        <v>21</v>
      </c>
      <c r="M997" t="s">
        <v>89</v>
      </c>
      <c r="N997" s="5" t="s">
        <v>31</v>
      </c>
      <c r="O997">
        <f>TBL_Employees[[#This Row],[Bonus %]]*TBL_Employees[[#This Row],[Annual Salary]]</f>
        <v>0</v>
      </c>
      <c r="P997" t="str">
        <f>IF(TBL_Employees[[#This Row],[Age]]&gt;50,"Senior","Junior")</f>
        <v>Junior</v>
      </c>
      <c r="Q997" s="14" t="str">
        <f>IF(OR(D997="IT", J997&gt;100000), "YES", "NO")</f>
        <v>NO</v>
      </c>
      <c r="R997" s="14">
        <f>YEAR(TBL_Employees[[#This Row],[Hire Date]])</f>
        <v>2016</v>
      </c>
    </row>
    <row r="998" spans="1:18" x14ac:dyDescent="0.35">
      <c r="A998" t="s">
        <v>1975</v>
      </c>
      <c r="B998" t="s">
        <v>1976</v>
      </c>
      <c r="C998" t="s">
        <v>56</v>
      </c>
      <c r="D998" t="s">
        <v>35</v>
      </c>
      <c r="E998" t="s">
        <v>36</v>
      </c>
      <c r="F998" t="s">
        <v>19</v>
      </c>
      <c r="G998" t="s">
        <v>28</v>
      </c>
      <c r="H998">
        <v>44</v>
      </c>
      <c r="I998" s="5">
        <v>40329</v>
      </c>
      <c r="J998" s="11">
        <v>47387</v>
      </c>
      <c r="K998" s="6">
        <v>0</v>
      </c>
      <c r="L998" t="s">
        <v>29</v>
      </c>
      <c r="M998" t="s">
        <v>135</v>
      </c>
      <c r="N998" s="5">
        <v>43108</v>
      </c>
      <c r="O998">
        <f>TBL_Employees[[#This Row],[Bonus %]]*TBL_Employees[[#This Row],[Annual Salary]]</f>
        <v>0</v>
      </c>
      <c r="P998" t="str">
        <f>IF(TBL_Employees[[#This Row],[Age]]&gt;50,"Senior","Junior")</f>
        <v>Junior</v>
      </c>
      <c r="Q998" s="14" t="str">
        <f>IF(OR(D998="IT", J998&gt;100000), "YES", "NO")</f>
        <v>NO</v>
      </c>
      <c r="R998" s="14">
        <f>YEAR(TBL_Employees[[#This Row],[Hire Date]])</f>
        <v>2010</v>
      </c>
    </row>
    <row r="999" spans="1:18" x14ac:dyDescent="0.35">
      <c r="A999" t="s">
        <v>1977</v>
      </c>
      <c r="B999" t="s">
        <v>1978</v>
      </c>
      <c r="C999" t="s">
        <v>34</v>
      </c>
      <c r="D999" t="s">
        <v>81</v>
      </c>
      <c r="E999" t="s">
        <v>36</v>
      </c>
      <c r="F999" t="s">
        <v>27</v>
      </c>
      <c r="G999" t="s">
        <v>28</v>
      </c>
      <c r="H999">
        <v>31</v>
      </c>
      <c r="I999" s="5">
        <v>43626</v>
      </c>
      <c r="J999" s="11">
        <v>176710</v>
      </c>
      <c r="K999" s="6">
        <v>0.15</v>
      </c>
      <c r="L999" t="s">
        <v>21</v>
      </c>
      <c r="M999" t="s">
        <v>57</v>
      </c>
      <c r="N999" s="5" t="s">
        <v>31</v>
      </c>
      <c r="O999">
        <f>TBL_Employees[[#This Row],[Bonus %]]*TBL_Employees[[#This Row],[Annual Salary]]</f>
        <v>26506.5</v>
      </c>
      <c r="P999" t="str">
        <f>IF(TBL_Employees[[#This Row],[Age]]&gt;50,"Senior","Junior")</f>
        <v>Junior</v>
      </c>
      <c r="Q999" s="14" t="str">
        <f>IF(OR(D999="IT", J999&gt;100000), "YES", "NO")</f>
        <v>YES</v>
      </c>
      <c r="R999" s="14">
        <f>YEAR(TBL_Employees[[#This Row],[Hire Date]])</f>
        <v>2019</v>
      </c>
    </row>
    <row r="1000" spans="1:18" x14ac:dyDescent="0.35">
      <c r="A1000" t="s">
        <v>1979</v>
      </c>
      <c r="B1000" t="s">
        <v>1980</v>
      </c>
      <c r="C1000" t="s">
        <v>44</v>
      </c>
      <c r="D1000" t="s">
        <v>35</v>
      </c>
      <c r="E1000" t="s">
        <v>36</v>
      </c>
      <c r="F1000" t="s">
        <v>19</v>
      </c>
      <c r="G1000" t="s">
        <v>28</v>
      </c>
      <c r="H1000">
        <v>33</v>
      </c>
      <c r="I1000" s="5">
        <v>40936</v>
      </c>
      <c r="J1000" s="11">
        <v>95960</v>
      </c>
      <c r="K1000" s="6">
        <v>0</v>
      </c>
      <c r="L1000" t="s">
        <v>29</v>
      </c>
      <c r="M1000" t="s">
        <v>135</v>
      </c>
      <c r="N1000" s="5" t="s">
        <v>31</v>
      </c>
      <c r="O1000">
        <f>TBL_Employees[[#This Row],[Bonus %]]*TBL_Employees[[#This Row],[Annual Salary]]</f>
        <v>0</v>
      </c>
      <c r="P1000" t="str">
        <f>IF(TBL_Employees[[#This Row],[Age]]&gt;50,"Senior","Junior")</f>
        <v>Junior</v>
      </c>
      <c r="Q1000" s="14" t="str">
        <f>IF(OR(D1000="IT", J1000&gt;100000), "YES", "NO")</f>
        <v>NO</v>
      </c>
      <c r="R1000" s="14">
        <f>YEAR(TBL_Employees[[#This Row],[Hire Date]])</f>
        <v>2012</v>
      </c>
    </row>
    <row r="1001" spans="1:18" x14ac:dyDescent="0.35">
      <c r="A1001" t="s">
        <v>1981</v>
      </c>
      <c r="B1001" t="s">
        <v>1982</v>
      </c>
      <c r="C1001" t="s">
        <v>80</v>
      </c>
      <c r="D1001" t="s">
        <v>60</v>
      </c>
      <c r="E1001" t="s">
        <v>50</v>
      </c>
      <c r="F1001" t="s">
        <v>19</v>
      </c>
      <c r="G1001" t="s">
        <v>28</v>
      </c>
      <c r="H1001">
        <v>63</v>
      </c>
      <c r="I1001" s="5">
        <v>44038</v>
      </c>
      <c r="J1001" s="11">
        <v>216195</v>
      </c>
      <c r="K1001" s="6">
        <v>0.31</v>
      </c>
      <c r="L1001" t="s">
        <v>21</v>
      </c>
      <c r="M1001" t="s">
        <v>57</v>
      </c>
      <c r="N1001" s="5" t="s">
        <v>31</v>
      </c>
      <c r="O1001">
        <f>TBL_Employees[[#This Row],[Bonus %]]*TBL_Employees[[#This Row],[Annual Salary]]</f>
        <v>67020.45</v>
      </c>
      <c r="P1001" t="str">
        <f>IF(TBL_Employees[[#This Row],[Age]]&gt;50,"Senior","Junior")</f>
        <v>Senior</v>
      </c>
      <c r="Q1001" s="14" t="str">
        <f>IF(OR(D1001="IT", J1001&gt;100000), "YES", "NO")</f>
        <v>YES</v>
      </c>
      <c r="R1001" s="14">
        <f>YEAR(TBL_Employees[[#This Row],[Hire Date]])</f>
        <v>2020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9467-8C1E-44D7-81ED-A9F284DC02EE}">
  <dimension ref="B2:O21"/>
  <sheetViews>
    <sheetView workbookViewId="0">
      <selection activeCell="H16" sqref="H16"/>
    </sheetView>
  </sheetViews>
  <sheetFormatPr defaultRowHeight="14.5" x14ac:dyDescent="0.35"/>
  <cols>
    <col min="2" max="2" width="11.08984375" bestFit="1" customWidth="1"/>
    <col min="4" max="4" width="16" bestFit="1" customWidth="1"/>
    <col min="6" max="6" width="11.08984375" bestFit="1" customWidth="1"/>
    <col min="8" max="8" width="12.453125" bestFit="1" customWidth="1"/>
    <col min="9" max="9" width="15.81640625" bestFit="1" customWidth="1"/>
    <col min="10" max="10" width="9.7265625" bestFit="1" customWidth="1"/>
    <col min="11" max="11" width="11.54296875" bestFit="1" customWidth="1"/>
  </cols>
  <sheetData>
    <row r="2" spans="2:11" x14ac:dyDescent="0.35">
      <c r="B2" t="s">
        <v>2005</v>
      </c>
      <c r="D2" t="s">
        <v>2006</v>
      </c>
      <c r="F2" t="s">
        <v>2007</v>
      </c>
    </row>
    <row r="5" spans="2:11" x14ac:dyDescent="0.35">
      <c r="B5" t="s">
        <v>2008</v>
      </c>
      <c r="D5" t="s">
        <v>2010</v>
      </c>
      <c r="F5" t="s">
        <v>2009</v>
      </c>
      <c r="H5" t="s">
        <v>2011</v>
      </c>
    </row>
    <row r="6" spans="2:11" x14ac:dyDescent="0.35">
      <c r="B6">
        <f>LEN(B2)</f>
        <v>12</v>
      </c>
      <c r="D6">
        <f>LEN(TRIM(D2))</f>
        <v>12</v>
      </c>
      <c r="F6" t="str">
        <f>LEFT(B2,6)</f>
        <v>Ishaan</v>
      </c>
      <c r="H6" t="str">
        <f>RIGHT(B2,5)</f>
        <v>Tyagi</v>
      </c>
    </row>
    <row r="7" spans="2:11" x14ac:dyDescent="0.35">
      <c r="B7">
        <f>LEN(D2)</f>
        <v>13</v>
      </c>
    </row>
    <row r="9" spans="2:11" x14ac:dyDescent="0.35">
      <c r="H9" t="s">
        <v>2021</v>
      </c>
    </row>
    <row r="10" spans="2:11" x14ac:dyDescent="0.35">
      <c r="B10" t="s">
        <v>2012</v>
      </c>
      <c r="D10" t="s">
        <v>2013</v>
      </c>
      <c r="F10" t="s">
        <v>2014</v>
      </c>
      <c r="H10" t="s">
        <v>2015</v>
      </c>
    </row>
    <row r="11" spans="2:11" x14ac:dyDescent="0.35">
      <c r="B11" t="str">
        <f>MID(B2,3,4)</f>
        <v>haan</v>
      </c>
      <c r="D11" t="str">
        <f>UPPER(D2)</f>
        <v xml:space="preserve">ISHAAN TYAGI </v>
      </c>
      <c r="F11" t="str">
        <f>LOWER(D11)</f>
        <v xml:space="preserve">ishaan tyagi </v>
      </c>
      <c r="H11">
        <f>FIND("i",B2)</f>
        <v>12</v>
      </c>
    </row>
    <row r="15" spans="2:11" x14ac:dyDescent="0.35">
      <c r="B15" t="s">
        <v>2016</v>
      </c>
      <c r="D15" t="s">
        <v>2017</v>
      </c>
      <c r="F15" t="s">
        <v>2018</v>
      </c>
      <c r="H15" t="s">
        <v>2019</v>
      </c>
      <c r="K15" t="s">
        <v>2020</v>
      </c>
    </row>
    <row r="16" spans="2:11" x14ac:dyDescent="0.35">
      <c r="B16">
        <f>SEARCH("I",B2)</f>
        <v>1</v>
      </c>
      <c r="D16" t="str">
        <f>_xlfn.CONCAT(D2,F2)</f>
        <v>ishaan tyagi jaipur</v>
      </c>
      <c r="F16" t="str">
        <f>REPLACE(F2,1,3,"Udai")</f>
        <v>Udaipur</v>
      </c>
      <c r="H16" t="str">
        <f>SUBSTITUTE(F2,"jai","Udai")</f>
        <v>Udaipur</v>
      </c>
      <c r="K16" t="str">
        <f>PROPER(D2)</f>
        <v xml:space="preserve">Ishaan Tyagi </v>
      </c>
    </row>
    <row r="18" spans="9:15" x14ac:dyDescent="0.35">
      <c r="I18" t="s">
        <v>2024</v>
      </c>
      <c r="J18" t="s">
        <v>2025</v>
      </c>
      <c r="K18" t="s">
        <v>2025</v>
      </c>
      <c r="L18" t="s">
        <v>2026</v>
      </c>
      <c r="N18" t="str" cm="1">
        <f t="array" ref="N18:O18">_xlfn.TEXTSPLIT(I19," ")</f>
        <v>Ishaan</v>
      </c>
      <c r="O18" t="str">
        <v>Tyagi</v>
      </c>
    </row>
    <row r="19" spans="9:15" x14ac:dyDescent="0.35">
      <c r="I19" t="s">
        <v>2005</v>
      </c>
      <c r="J19" t="str">
        <f>LEFT(I19,FIND(" ",I19) - 1)</f>
        <v>Ishaan</v>
      </c>
      <c r="K19" t="str">
        <f>_xlfn.TEXTBEFORE(I19," ")</f>
        <v>Ishaan</v>
      </c>
      <c r="L19" t="str">
        <f>_xlfn.TEXTAFTER(I19," ")</f>
        <v>Tyagi</v>
      </c>
    </row>
    <row r="20" spans="9:15" x14ac:dyDescent="0.35">
      <c r="I20" t="s">
        <v>2022</v>
      </c>
      <c r="J20" t="str">
        <f t="shared" ref="J20:J21" si="0">LEFT(I20,FIND(" ",I20) - 1)</f>
        <v>Akansha</v>
      </c>
      <c r="L20" t="str">
        <f t="shared" ref="L20:L21" si="1">_xlfn.TEXTAFTER(I20," ")</f>
        <v>Srivastav</v>
      </c>
    </row>
    <row r="21" spans="9:15" x14ac:dyDescent="0.35">
      <c r="I21" t="s">
        <v>2023</v>
      </c>
      <c r="J21" t="str">
        <f t="shared" si="0"/>
        <v>Shantanu</v>
      </c>
      <c r="L21" t="str">
        <f t="shared" si="1"/>
        <v>Tyagi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317E-50EC-4282-8DDD-107E85C3200E}">
  <dimension ref="A2:B37"/>
  <sheetViews>
    <sheetView topLeftCell="A24" workbookViewId="0">
      <selection activeCell="E44" sqref="E44"/>
    </sheetView>
  </sheetViews>
  <sheetFormatPr defaultRowHeight="14.5" x14ac:dyDescent="0.35"/>
  <cols>
    <col min="1" max="1" width="26.08984375" bestFit="1" customWidth="1"/>
    <col min="2" max="2" width="22.81640625" bestFit="1" customWidth="1"/>
  </cols>
  <sheetData>
    <row r="2" spans="1:2" x14ac:dyDescent="0.35">
      <c r="A2" t="s">
        <v>2027</v>
      </c>
      <c r="B2" s="5">
        <f ca="1">TODAY()</f>
        <v>46111</v>
      </c>
    </row>
    <row r="4" spans="1:2" x14ac:dyDescent="0.35">
      <c r="A4" t="s">
        <v>2028</v>
      </c>
      <c r="B4" s="12">
        <f ca="1">NOW()</f>
        <v>46111.751003124999</v>
      </c>
    </row>
    <row r="6" spans="1:2" x14ac:dyDescent="0.35">
      <c r="A6" t="s">
        <v>2029</v>
      </c>
      <c r="B6">
        <f ca="1">YEAR(B2)</f>
        <v>2026</v>
      </c>
    </row>
    <row r="8" spans="1:2" x14ac:dyDescent="0.35">
      <c r="A8" t="s">
        <v>2030</v>
      </c>
      <c r="B8">
        <f ca="1">MONTH(B4)</f>
        <v>3</v>
      </c>
    </row>
    <row r="10" spans="1:2" x14ac:dyDescent="0.35">
      <c r="A10" t="s">
        <v>2031</v>
      </c>
      <c r="B10">
        <f ca="1">DAY(B2)</f>
        <v>30</v>
      </c>
    </row>
    <row r="12" spans="1:2" x14ac:dyDescent="0.35">
      <c r="A12" t="s">
        <v>2032</v>
      </c>
      <c r="B12" s="5">
        <f ca="1">DATE(B6,B8,B10)</f>
        <v>46111</v>
      </c>
    </row>
    <row r="14" spans="1:2" x14ac:dyDescent="0.35">
      <c r="A14" t="s">
        <v>2033</v>
      </c>
      <c r="B14" t="str">
        <f ca="1">TEXT(B12,"MMMM")</f>
        <v>March</v>
      </c>
    </row>
    <row r="15" spans="1:2" x14ac:dyDescent="0.35">
      <c r="A15" t="s">
        <v>2033</v>
      </c>
      <c r="B15" t="str">
        <f ca="1">TEXT(B12,"mmm")</f>
        <v>Mar</v>
      </c>
    </row>
    <row r="16" spans="1:2" x14ac:dyDescent="0.35">
      <c r="A16" t="s">
        <v>2033</v>
      </c>
      <c r="B16" t="str">
        <f ca="1">TEXT(B12,"mm")</f>
        <v>03</v>
      </c>
    </row>
    <row r="18" spans="1:2" x14ac:dyDescent="0.35">
      <c r="A18" t="s">
        <v>2034</v>
      </c>
      <c r="B18" t="str">
        <f ca="1">TEXT(B12,"DDDD, DD-mmmm-yyyy")</f>
        <v>Monday, 30-March-2026</v>
      </c>
    </row>
    <row r="20" spans="1:2" x14ac:dyDescent="0.35">
      <c r="A20" t="s">
        <v>2035</v>
      </c>
      <c r="B20">
        <f ca="1">HOUR(B4)</f>
        <v>18</v>
      </c>
    </row>
    <row r="21" spans="1:2" x14ac:dyDescent="0.35">
      <c r="A21" t="s">
        <v>2036</v>
      </c>
      <c r="B21">
        <f ca="1">MINUTE(B4)</f>
        <v>1</v>
      </c>
    </row>
    <row r="22" spans="1:2" x14ac:dyDescent="0.35">
      <c r="A22" t="s">
        <v>2037</v>
      </c>
      <c r="B22">
        <f ca="1">SECOND(B4)</f>
        <v>27</v>
      </c>
    </row>
    <row r="24" spans="1:2" x14ac:dyDescent="0.35">
      <c r="A24" t="s">
        <v>2038</v>
      </c>
      <c r="B24" s="5">
        <f ca="1">B12-5</f>
        <v>46106</v>
      </c>
    </row>
    <row r="25" spans="1:2" x14ac:dyDescent="0.35">
      <c r="A25" t="s">
        <v>2039</v>
      </c>
      <c r="B25">
        <f ca="1">B12-B24</f>
        <v>5</v>
      </c>
    </row>
    <row r="26" spans="1:2" x14ac:dyDescent="0.35">
      <c r="A26" t="s">
        <v>2040</v>
      </c>
      <c r="B26" s="5">
        <f ca="1">EDATE(B24,7)</f>
        <v>46320</v>
      </c>
    </row>
    <row r="28" spans="1:2" x14ac:dyDescent="0.35">
      <c r="A28" t="s">
        <v>2041</v>
      </c>
      <c r="B28" s="5">
        <f>DATE(2026,1,1)</f>
        <v>46023</v>
      </c>
    </row>
    <row r="29" spans="1:2" x14ac:dyDescent="0.35">
      <c r="A29" t="s">
        <v>2042</v>
      </c>
      <c r="B29" s="5">
        <f>DATE(2026,6,30)</f>
        <v>46203</v>
      </c>
    </row>
    <row r="30" spans="1:2" x14ac:dyDescent="0.35">
      <c r="A30" t="s">
        <v>2043</v>
      </c>
      <c r="B30">
        <f ca="1">NETWORKDAYS(B28,B29,B12)</f>
        <v>128</v>
      </c>
    </row>
    <row r="31" spans="1:2" x14ac:dyDescent="0.35">
      <c r="A31" t="s">
        <v>2043</v>
      </c>
      <c r="B31">
        <f ca="1">NETWORKDAYS.INTL(B28,B29,1,B12)</f>
        <v>128</v>
      </c>
    </row>
    <row r="33" spans="1:2" x14ac:dyDescent="0.35">
      <c r="A33" t="s">
        <v>2044</v>
      </c>
      <c r="B33" s="5">
        <f>EOMONTH(B28,0)</f>
        <v>46053</v>
      </c>
    </row>
    <row r="36" spans="1:2" x14ac:dyDescent="0.35">
      <c r="B36" s="5"/>
    </row>
    <row r="37" spans="1:2" x14ac:dyDescent="0.35">
      <c r="B37" s="5"/>
    </row>
  </sheetData>
  <conditionalFormatting sqref="B37">
    <cfRule type="timePeriod" dxfId="0" priority="1" timePeriod="today">
      <formula>FLOOR(B37,1)=TODAY()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9323C-3733-4B7F-81CC-11AEC532D166}">
  <dimension ref="D3:O22"/>
  <sheetViews>
    <sheetView topLeftCell="A4" workbookViewId="0">
      <selection activeCell="N13" sqref="N13"/>
    </sheetView>
  </sheetViews>
  <sheetFormatPr defaultRowHeight="14.5" x14ac:dyDescent="0.35"/>
  <cols>
    <col min="4" max="4" width="10.6328125" bestFit="1" customWidth="1"/>
    <col min="5" max="6" width="14.1796875" bestFit="1" customWidth="1"/>
    <col min="12" max="12" width="11.7265625" bestFit="1" customWidth="1"/>
  </cols>
  <sheetData>
    <row r="3" spans="4:15" x14ac:dyDescent="0.35">
      <c r="F3" t="s">
        <v>2046</v>
      </c>
      <c r="G3" t="s">
        <v>2047</v>
      </c>
      <c r="H3" t="s">
        <v>2048</v>
      </c>
    </row>
    <row r="4" spans="4:15" x14ac:dyDescent="0.35">
      <c r="E4">
        <v>23.125</v>
      </c>
      <c r="F4">
        <f>ROUND(E4,2)</f>
        <v>23.13</v>
      </c>
      <c r="G4">
        <f>FLOOR(E4,2)</f>
        <v>22</v>
      </c>
      <c r="H4">
        <f>CEILING(E4,2)</f>
        <v>24</v>
      </c>
    </row>
    <row r="5" spans="4:15" x14ac:dyDescent="0.35">
      <c r="E5">
        <v>23.9999</v>
      </c>
      <c r="F5">
        <f>ROUND(E5,2)</f>
        <v>24</v>
      </c>
      <c r="G5">
        <f>FLOOR(E5,2)</f>
        <v>22</v>
      </c>
      <c r="H5">
        <f>CEILING(E5,2)</f>
        <v>24</v>
      </c>
    </row>
    <row r="6" spans="4:15" x14ac:dyDescent="0.35">
      <c r="F6">
        <f>ROUNDUP(E4,3)</f>
        <v>23.125</v>
      </c>
    </row>
    <row r="7" spans="4:15" x14ac:dyDescent="0.35">
      <c r="F7">
        <f>ROUNDDOWN(E4,3)</f>
        <v>23.125</v>
      </c>
    </row>
    <row r="12" spans="4:15" x14ac:dyDescent="0.35">
      <c r="D12" t="s">
        <v>2049</v>
      </c>
      <c r="E12">
        <f>SQRT(49)</f>
        <v>7</v>
      </c>
      <c r="L12" t="s">
        <v>2056</v>
      </c>
      <c r="M12" t="s">
        <v>2057</v>
      </c>
      <c r="N12" t="s">
        <v>2059</v>
      </c>
    </row>
    <row r="13" spans="4:15" x14ac:dyDescent="0.35">
      <c r="D13" t="s">
        <v>2050</v>
      </c>
      <c r="E13">
        <f>POWER(2,3)</f>
        <v>8</v>
      </c>
      <c r="L13">
        <v>500</v>
      </c>
      <c r="M13" s="16">
        <v>0.45</v>
      </c>
      <c r="N13">
        <f>IF(ISNUMBER(FIND("Rs.",M13)),M13,M13*L13)</f>
        <v>225</v>
      </c>
      <c r="O13">
        <v>225</v>
      </c>
    </row>
    <row r="14" spans="4:15" x14ac:dyDescent="0.35">
      <c r="L14">
        <v>1000</v>
      </c>
      <c r="M14" t="s">
        <v>2058</v>
      </c>
      <c r="N14" t="str">
        <f>IF(ISNUMBER(FIND("Rs.",M14)),M14,M14*L14)</f>
        <v>Rs. 200</v>
      </c>
      <c r="O14" s="11">
        <f>_xlfn.NUMBERVALUE(SUBSTITUTE(N14,"Rs. ",""))</f>
        <v>200</v>
      </c>
    </row>
    <row r="15" spans="4:15" x14ac:dyDescent="0.35">
      <c r="D15" t="s">
        <v>2051</v>
      </c>
      <c r="E15">
        <v>2</v>
      </c>
      <c r="F15">
        <v>1</v>
      </c>
      <c r="G15">
        <f>E15/F15</f>
        <v>2</v>
      </c>
      <c r="H15">
        <f>IFERROR(E15/F15,"Divide by zero")</f>
        <v>2</v>
      </c>
    </row>
    <row r="16" spans="4:15" x14ac:dyDescent="0.35">
      <c r="E16">
        <v>3</v>
      </c>
      <c r="F16">
        <v>0</v>
      </c>
      <c r="G16" t="e">
        <f t="shared" ref="G16:G17" si="0">E16/F16</f>
        <v>#DIV/0!</v>
      </c>
      <c r="H16">
        <f>IFERROR(E16/F16,0)</f>
        <v>0</v>
      </c>
    </row>
    <row r="17" spans="5:8" x14ac:dyDescent="0.35">
      <c r="E17">
        <v>4</v>
      </c>
      <c r="F17">
        <v>2</v>
      </c>
      <c r="G17">
        <f t="shared" si="0"/>
        <v>2</v>
      </c>
      <c r="H17">
        <f t="shared" ref="H16:H17" si="1">IFERROR(E17/F17,"Divide by zero")</f>
        <v>2</v>
      </c>
    </row>
    <row r="19" spans="5:8" x14ac:dyDescent="0.35">
      <c r="E19" t="s">
        <v>2052</v>
      </c>
      <c r="F19" t="str">
        <f>IFERROR(FIND("@",E19),"Email not found")</f>
        <v>Email not found</v>
      </c>
    </row>
    <row r="20" spans="5:8" x14ac:dyDescent="0.35">
      <c r="E20" t="s">
        <v>2053</v>
      </c>
      <c r="F20" t="str">
        <f t="shared" ref="F20:F22" si="2">IFERROR(FIND("@",E20),"Email not found")</f>
        <v>Email not found</v>
      </c>
    </row>
    <row r="21" spans="5:8" x14ac:dyDescent="0.35">
      <c r="E21" t="s">
        <v>2054</v>
      </c>
      <c r="F21" t="str">
        <f t="shared" si="2"/>
        <v>Email not found</v>
      </c>
    </row>
    <row r="22" spans="5:8" x14ac:dyDescent="0.35">
      <c r="E22" s="15" t="s">
        <v>2055</v>
      </c>
      <c r="F22">
        <f t="shared" si="2"/>
        <v>4</v>
      </c>
    </row>
  </sheetData>
  <hyperlinks>
    <hyperlink ref="E22" r:id="rId1" xr:uid="{554AD909-63FB-42BF-BBEF-64F4EEFCCA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7AD5-864E-4377-AB7B-0EF3D641C45A}">
  <dimension ref="B2:D10"/>
  <sheetViews>
    <sheetView tabSelected="1" workbookViewId="0">
      <selection activeCell="E2" sqref="E2"/>
    </sheetView>
  </sheetViews>
  <sheetFormatPr defaultRowHeight="14.5" x14ac:dyDescent="0.35"/>
  <sheetData>
    <row r="2" spans="2:4" x14ac:dyDescent="0.35">
      <c r="B2" t="s">
        <v>2068</v>
      </c>
      <c r="D2" t="s">
        <v>2069</v>
      </c>
    </row>
    <row r="3" spans="2:4" x14ac:dyDescent="0.35">
      <c r="B3" t="s">
        <v>2060</v>
      </c>
      <c r="C3">
        <f ca="1">RANDBETWEEN(12,95)</f>
        <v>12</v>
      </c>
      <c r="D3">
        <v>56</v>
      </c>
    </row>
    <row r="4" spans="2:4" x14ac:dyDescent="0.35">
      <c r="B4" t="s">
        <v>2061</v>
      </c>
      <c r="C4">
        <f t="shared" ref="C4:C10" ca="1" si="0">RANDBETWEEN(12,95)</f>
        <v>75</v>
      </c>
      <c r="D4">
        <v>38</v>
      </c>
    </row>
    <row r="5" spans="2:4" x14ac:dyDescent="0.35">
      <c r="B5" t="s">
        <v>2062</v>
      </c>
      <c r="C5">
        <f t="shared" ca="1" si="0"/>
        <v>76</v>
      </c>
      <c r="D5">
        <v>73</v>
      </c>
    </row>
    <row r="6" spans="2:4" x14ac:dyDescent="0.35">
      <c r="B6" t="s">
        <v>2063</v>
      </c>
      <c r="C6">
        <f t="shared" ca="1" si="0"/>
        <v>94</v>
      </c>
      <c r="D6">
        <v>90</v>
      </c>
    </row>
    <row r="7" spans="2:4" x14ac:dyDescent="0.35">
      <c r="B7" t="s">
        <v>2064</v>
      </c>
      <c r="C7">
        <f t="shared" ca="1" si="0"/>
        <v>23</v>
      </c>
      <c r="D7">
        <v>50</v>
      </c>
    </row>
    <row r="8" spans="2:4" x14ac:dyDescent="0.35">
      <c r="B8" t="s">
        <v>2065</v>
      </c>
      <c r="C8">
        <f t="shared" ca="1" si="0"/>
        <v>82</v>
      </c>
      <c r="D8">
        <v>23</v>
      </c>
    </row>
    <row r="9" spans="2:4" x14ac:dyDescent="0.35">
      <c r="B9" t="s">
        <v>2066</v>
      </c>
      <c r="C9">
        <f t="shared" ca="1" si="0"/>
        <v>49</v>
      </c>
      <c r="D9">
        <v>84</v>
      </c>
    </row>
    <row r="10" spans="2:4" x14ac:dyDescent="0.35">
      <c r="B10" t="s">
        <v>2067</v>
      </c>
      <c r="C10">
        <f t="shared" ca="1" si="0"/>
        <v>37</v>
      </c>
      <c r="D10">
        <v>43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Text functions</vt:lpstr>
      <vt:lpstr>Time and Date functions</vt:lpstr>
      <vt:lpstr>Numeric and Logical Functions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WsCube Tech</dc:creator>
  <cp:lastModifiedBy>Ishaan Tyagi</cp:lastModifiedBy>
  <dcterms:created xsi:type="dcterms:W3CDTF">2023-03-28T11:10:17Z</dcterms:created>
  <dcterms:modified xsi:type="dcterms:W3CDTF">2026-03-30T15:35:43Z</dcterms:modified>
</cp:coreProperties>
</file>